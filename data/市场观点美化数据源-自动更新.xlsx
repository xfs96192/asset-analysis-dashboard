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nshengxia/Desktop/市场观点美化/asset-analysis-real-data/"/>
    </mc:Choice>
  </mc:AlternateContent>
  <xr:revisionPtr revIDLastSave="0" documentId="13_ncr:1_{EFB47B9B-22A7-0748-9547-02D756A49C5A}" xr6:coauthVersionLast="47" xr6:coauthVersionMax="47" xr10:uidLastSave="{00000000-0000-0000-0000-000000000000}"/>
  <bookViews>
    <workbookView xWindow="-2260" yWindow="-20820" windowWidth="30240" windowHeight="17700" activeTab="1" xr2:uid="{00000000-000D-0000-FFFF-FFFF00000000}"/>
  </bookViews>
  <sheets>
    <sheet name="近一月指数走势" sheetId="2" r:id="rId1"/>
    <sheet name="指标值" sheetId="12" r:id="rId2"/>
    <sheet name="所有指标" sheetId="4" r:id="rId3"/>
    <sheet name="股票指标" sheetId="8" r:id="rId4"/>
    <sheet name="债券指标" sheetId="5" r:id="rId5"/>
    <sheet name="汇率指标" sheetId="6" r:id="rId6"/>
    <sheet name="商品指标" sheetId="7" r:id="rId7"/>
  </sheets>
  <externalReferences>
    <externalReference r:id="rId8"/>
  </externalReferences>
  <definedNames>
    <definedName name="_xlnm._FilterDatabase" localSheetId="1" hidden="1">指标值!$A$1:$N$1</definedName>
    <definedName name="_xlchart.v1.0" hidden="1">股票指标!$I$2</definedName>
    <definedName name="_xlchart.v1.1" hidden="1">股票指标!$I$3:$I$155</definedName>
    <definedName name="_xlchart.v1.10" hidden="1">股票指标!$G$2</definedName>
    <definedName name="_xlchart.v1.11" hidden="1">股票指标!$G$3:$G$155</definedName>
    <definedName name="_xlchart.v1.12" hidden="1">股票指标!$B$2</definedName>
    <definedName name="_xlchart.v1.13" hidden="1">股票指标!$B$3:$B$155</definedName>
    <definedName name="_xlchart.v1.14" hidden="1">股票指标!$C$2</definedName>
    <definedName name="_xlchart.v1.15" hidden="1">股票指标!$C$3:$C$155</definedName>
    <definedName name="_xlchart.v1.16" hidden="1">股票指标!$D$2</definedName>
    <definedName name="_xlchart.v1.17" hidden="1">股票指标!$D$3:$D$155</definedName>
    <definedName name="_xlchart.v1.18" hidden="1">债券指标!$B$2</definedName>
    <definedName name="_xlchart.v1.19" hidden="1">债券指标!$B$3:$B$155</definedName>
    <definedName name="_xlchart.v1.2" hidden="1">股票指标!$J$2</definedName>
    <definedName name="_xlchart.v1.20" hidden="1">债券指标!$C$2</definedName>
    <definedName name="_xlchart.v1.21" hidden="1">债券指标!$C$3:$C$155</definedName>
    <definedName name="_xlchart.v1.22" hidden="1">债券指标!$D$2</definedName>
    <definedName name="_xlchart.v1.23" hidden="1">债券指标!$D$3:$D$155</definedName>
    <definedName name="_xlchart.v1.24" hidden="1">债券指标!$E$2</definedName>
    <definedName name="_xlchart.v1.25" hidden="1">债券指标!$E$3:$E$155</definedName>
    <definedName name="_xlchart.v1.26" hidden="1">债券指标!$F$2</definedName>
    <definedName name="_xlchart.v1.27" hidden="1">债券指标!$F$3:$F$155</definedName>
    <definedName name="_xlchart.v1.28" hidden="1">债券指标!$G$2</definedName>
    <definedName name="_xlchart.v1.29" hidden="1">债券指标!$G$3:$G$155</definedName>
    <definedName name="_xlchart.v1.3" hidden="1">股票指标!$J$3:$J$155</definedName>
    <definedName name="_xlchart.v1.30" hidden="1">债券指标!$H$2</definedName>
    <definedName name="_xlchart.v1.31" hidden="1">债券指标!$H$3:$H$155</definedName>
    <definedName name="_xlchart.v1.32" hidden="1">债券指标!$I$2</definedName>
    <definedName name="_xlchart.v1.33" hidden="1">债券指标!$I$3:$I$155</definedName>
    <definedName name="_xlchart.v1.34" hidden="1">债券指标!$J$2</definedName>
    <definedName name="_xlchart.v1.35" hidden="1">债券指标!$J$3:$J$155</definedName>
    <definedName name="_xlchart.v1.36" hidden="1">商品指标!$K$2</definedName>
    <definedName name="_xlchart.v1.37" hidden="1">商品指标!$K$3:$K$155</definedName>
    <definedName name="_xlchart.v1.38" hidden="1">商品指标!$L$2</definedName>
    <definedName name="_xlchart.v1.39" hidden="1">商品指标!$L$3:$L$155</definedName>
    <definedName name="_xlchart.v1.4" hidden="1">股票指标!$E$2</definedName>
    <definedName name="_xlchart.v1.40" hidden="1">商品指标!$M$2</definedName>
    <definedName name="_xlchart.v1.41" hidden="1">商品指标!$M$3:$M$155</definedName>
    <definedName name="_xlchart.v1.42" hidden="1">商品指标!$B$2</definedName>
    <definedName name="_xlchart.v1.43" hidden="1">商品指标!$B$3:$B$155</definedName>
    <definedName name="_xlchart.v1.44" hidden="1">商品指标!$C$2</definedName>
    <definedName name="_xlchart.v1.45" hidden="1">商品指标!$C$3:$C$155</definedName>
    <definedName name="_xlchart.v1.46" hidden="1">商品指标!$D$2</definedName>
    <definedName name="_xlchart.v1.47" hidden="1">商品指标!$D$3:$D$155</definedName>
    <definedName name="_xlchart.v1.48" hidden="1">商品指标!$E$2</definedName>
    <definedName name="_xlchart.v1.49" hidden="1">商品指标!$E$3:$E$155</definedName>
    <definedName name="_xlchart.v1.5" hidden="1">股票指标!$E$3:$E$155</definedName>
    <definedName name="_xlchart.v1.50" hidden="1">商品指标!$F$2</definedName>
    <definedName name="_xlchart.v1.51" hidden="1">商品指标!$F$3:$F$155</definedName>
    <definedName name="_xlchart.v1.52" hidden="1">商品指标!$G$2</definedName>
    <definedName name="_xlchart.v1.53" hidden="1">商品指标!$G$3:$G$155</definedName>
    <definedName name="_xlchart.v1.54" hidden="1">商品指标!$H$2</definedName>
    <definedName name="_xlchart.v1.55" hidden="1">商品指标!$H$3:$H$155</definedName>
    <definedName name="_xlchart.v1.56" hidden="1">商品指标!$I$2</definedName>
    <definedName name="_xlchart.v1.57" hidden="1">商品指标!$I$3:$I$155</definedName>
    <definedName name="_xlchart.v1.58" hidden="1">商品指标!$J$2</definedName>
    <definedName name="_xlchart.v1.59" hidden="1">商品指标!$J$3:$J$155</definedName>
    <definedName name="_xlchart.v1.6" hidden="1">股票指标!$H$2</definedName>
    <definedName name="_xlchart.v1.7" hidden="1">股票指标!$H$3:$H$155</definedName>
    <definedName name="_xlchart.v1.8" hidden="1">股票指标!$F$2</definedName>
    <definedName name="_xlchart.v1.9" hidden="1">股票指标!$F$3:$F$155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25" i="2" s="1"/>
  <c r="C3" i="6"/>
  <c r="D24" i="12" s="1"/>
  <c r="C3" i="5"/>
  <c r="D12" i="12" s="1"/>
  <c r="J20" i="12"/>
  <c r="J22" i="12"/>
  <c r="J21" i="12"/>
  <c r="J2" i="12"/>
  <c r="J3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4" i="12"/>
  <c r="D7" i="12"/>
  <c r="D6" i="12"/>
  <c r="D5" i="12"/>
  <c r="A3" i="8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3" i="7"/>
  <c r="D27" i="12" s="1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3" i="5"/>
  <c r="D18" i="12" s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3" i="5"/>
  <c r="D17" i="12" s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3" i="5"/>
  <c r="D15" i="12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3" i="5"/>
  <c r="D16" i="12" s="1"/>
  <c r="E3" i="5"/>
  <c r="D14" i="12" s="1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D3" i="5"/>
  <c r="D13" i="12" s="1"/>
  <c r="B3" i="5"/>
  <c r="D11" i="12" s="1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1" i="4"/>
  <c r="M156" i="4" a="1"/>
  <c r="Q8" i="4"/>
  <c r="Q9" i="4"/>
  <c r="S9" i="4"/>
  <c r="Q11" i="4"/>
  <c r="M156" i="4" l="1"/>
  <c r="B24" i="2"/>
  <c r="B23" i="2" s="1"/>
  <c r="B22" i="2" s="1"/>
  <c r="B21" i="2" s="1"/>
  <c r="B20" i="2" s="1"/>
  <c r="B19" i="2" s="1"/>
  <c r="B18" i="2" s="1"/>
  <c r="B17" i="2" s="1"/>
  <c r="B16" i="2" s="1"/>
  <c r="B15" i="2" s="1"/>
  <c r="B14" i="2" s="1"/>
  <c r="B13" i="2" s="1"/>
  <c r="B12" i="2" s="1"/>
  <c r="B11" i="2" s="1"/>
  <c r="B10" i="2" s="1"/>
  <c r="B9" i="2" s="1"/>
  <c r="B8" i="2" s="1"/>
  <c r="B7" i="2" s="1"/>
  <c r="B6" i="2" s="1"/>
  <c r="B5" i="2" s="1"/>
  <c r="B4" i="2" s="1"/>
  <c r="H4" i="2" a="1"/>
  <c r="H4" i="2" l="1"/>
  <c r="B3" i="2"/>
  <c r="B152" i="8" l="1"/>
  <c r="D152" i="8" s="1"/>
  <c r="Q151" i="4"/>
  <c r="AB126" i="4" a="1"/>
  <c r="Q108" i="4"/>
  <c r="Y137" i="4" a="1"/>
  <c r="F4" i="2" a="1"/>
  <c r="T43" i="4" a="1"/>
  <c r="P150" i="4" a="1"/>
  <c r="Y135" i="4" a="1"/>
  <c r="H7" i="2" a="1"/>
  <c r="U148" i="4" a="1"/>
  <c r="Y95" i="4" a="1"/>
  <c r="AH131" i="4"/>
  <c r="Y65" i="4" a="1"/>
  <c r="S137" i="4"/>
  <c r="U102" i="4" a="1"/>
  <c r="V132" i="4" a="1"/>
  <c r="W42" i="4" a="1"/>
  <c r="AG49" i="4"/>
  <c r="N33" i="4" a="1"/>
  <c r="AD92" i="4" a="1"/>
  <c r="AD150" i="4" a="1"/>
  <c r="AF159" i="4" a="1"/>
  <c r="AG77" i="4"/>
  <c r="U141" i="4" a="1"/>
  <c r="N3" i="2"/>
  <c r="N5" i="2"/>
  <c r="AD93" i="4" a="1"/>
  <c r="S75" i="4"/>
  <c r="P23" i="4" a="1"/>
  <c r="S66" i="4"/>
  <c r="AG123" i="4"/>
  <c r="AD69" i="4" a="1"/>
  <c r="O53" i="4" a="1"/>
  <c r="N54" i="4" a="1"/>
  <c r="AD105" i="4" a="1"/>
  <c r="X128" i="4" a="1"/>
  <c r="M79" i="4" a="1"/>
  <c r="N149" i="4" a="1"/>
  <c r="U159" i="4" a="1"/>
  <c r="D11" i="2" a="1"/>
  <c r="M80" i="4" a="1"/>
  <c r="P86" i="4" a="1"/>
  <c r="X41" i="4" a="1"/>
  <c r="V95" i="4" a="1"/>
  <c r="S104" i="4"/>
  <c r="M106" i="4" a="1"/>
  <c r="AH110" i="4"/>
  <c r="U21" i="4" a="1"/>
  <c r="O45" i="4" a="1"/>
  <c r="S101" i="4"/>
  <c r="AH63" i="4"/>
  <c r="T93" i="4" a="1"/>
  <c r="AH126" i="4"/>
  <c r="T118" i="4" a="1"/>
  <c r="AH8" i="4"/>
  <c r="Y105" i="4" a="1"/>
  <c r="AB35" i="4" a="1"/>
  <c r="AC62" i="4" a="1"/>
  <c r="AH14" i="4"/>
  <c r="M59" i="4" a="1"/>
  <c r="AA119" i="4" a="1"/>
  <c r="P125" i="4" a="1"/>
  <c r="AA126" i="4" a="1"/>
  <c r="X158" i="4" a="1"/>
  <c r="Q21" i="4"/>
  <c r="AE152" i="4" a="1"/>
  <c r="Y118" i="4" a="1"/>
  <c r="Q125" i="4"/>
  <c r="Q54" i="4"/>
  <c r="AH157" i="4"/>
  <c r="AB107" i="4" a="1"/>
  <c r="Z134" i="4" a="1"/>
  <c r="AA148" i="4" a="1"/>
  <c r="Z110" i="4" a="1"/>
  <c r="W57" i="4" a="1"/>
  <c r="AE153" i="4" a="1"/>
  <c r="S139" i="4"/>
  <c r="K10" i="2" a="1"/>
  <c r="M48" i="4" a="1"/>
  <c r="W36" i="4" a="1"/>
  <c r="S31" i="4"/>
  <c r="O101" i="4" a="1"/>
  <c r="AH113" i="4"/>
  <c r="AA92" i="4" a="1"/>
  <c r="Z46" i="4" a="1"/>
  <c r="H22" i="2" a="1"/>
  <c r="Y10" i="4" a="1"/>
  <c r="AB50" i="4" a="1"/>
  <c r="U119" i="4" a="1"/>
  <c r="AG46" i="4"/>
  <c r="Q141" i="4"/>
  <c r="U28" i="4" a="1"/>
  <c r="AF137" i="4" a="1"/>
  <c r="AE46" i="4" a="1"/>
  <c r="Q42" i="4"/>
  <c r="N65" i="4" a="1"/>
  <c r="AH58" i="4"/>
  <c r="AE147" i="4" a="1"/>
  <c r="P97" i="4" a="1"/>
  <c r="AG81" i="4"/>
  <c r="O26" i="4" a="1"/>
  <c r="O151" i="4" a="1"/>
  <c r="U114" i="4" a="1"/>
  <c r="M18" i="4" a="1"/>
  <c r="T41" i="4" a="1"/>
  <c r="M155" i="4" a="1"/>
  <c r="S96" i="4"/>
  <c r="O137" i="4" a="1"/>
  <c r="X138" i="4" a="1"/>
  <c r="Z157" i="4" a="1"/>
  <c r="AG99" i="4"/>
  <c r="Y106" i="4" a="1"/>
  <c r="N7" i="4" a="1"/>
  <c r="Q118" i="4"/>
  <c r="AA73" i="4" a="1"/>
  <c r="AB54" i="4" a="1"/>
  <c r="Z22" i="4" a="1"/>
  <c r="AH50" i="4"/>
  <c r="Z73" i="4" a="1"/>
  <c r="Z158" i="4" a="1"/>
  <c r="M136" i="4" a="1"/>
  <c r="AG146" i="4"/>
  <c r="O64" i="4" a="1"/>
  <c r="P29" i="4" a="1"/>
  <c r="N21" i="2"/>
  <c r="Q84" i="4"/>
  <c r="D17" i="2" a="1"/>
  <c r="W84" i="4" a="1"/>
  <c r="S86" i="4"/>
  <c r="Q64" i="4"/>
  <c r="AB108" i="4" a="1"/>
  <c r="AH82" i="4"/>
  <c r="Z58" i="4" a="1"/>
  <c r="O78" i="4" a="1"/>
  <c r="AB62" i="4" a="1"/>
  <c r="Z119" i="4" a="1"/>
  <c r="AG115" i="4"/>
  <c r="AF149" i="4" a="1"/>
  <c r="AB76" i="4" a="1"/>
  <c r="L11" i="2" a="1"/>
  <c r="E16" i="2" a="1"/>
  <c r="Y18" i="4" a="1"/>
  <c r="AG143" i="4"/>
  <c r="Q96" i="4"/>
  <c r="AF104" i="4" a="1"/>
  <c r="M27" i="4" a="1"/>
  <c r="S131" i="4"/>
  <c r="Q45" i="4"/>
  <c r="Z81" i="4" a="1"/>
  <c r="P130" i="4" a="1"/>
  <c r="Y152" i="4" a="1"/>
  <c r="Z64" i="4" a="1"/>
  <c r="AD119" i="4" a="1"/>
  <c r="AD142" i="4" a="1"/>
  <c r="AD158" i="4" a="1"/>
  <c r="F21" i="2" a="1"/>
  <c r="T141" i="4" a="1"/>
  <c r="AD43" i="4" a="1"/>
  <c r="AH42" i="4"/>
  <c r="Y147" i="4" a="1"/>
  <c r="U23" i="4" a="1"/>
  <c r="Q142" i="4"/>
  <c r="U84" i="4" a="1"/>
  <c r="AA86" i="4" a="1"/>
  <c r="T138" i="4" a="1"/>
  <c r="V105" i="4" a="1"/>
  <c r="O131" i="4" a="1"/>
  <c r="AE35" i="4" a="1"/>
  <c r="O18" i="4" a="1"/>
  <c r="W143" i="4" a="1"/>
  <c r="H6" i="2" a="1"/>
  <c r="AG79" i="4"/>
  <c r="N41" i="4" a="1"/>
  <c r="AF116" i="4" a="1"/>
  <c r="U43" i="4" a="1"/>
  <c r="S159" i="4"/>
  <c r="P145" i="4" a="1"/>
  <c r="N9" i="2"/>
  <c r="Z67" i="4" a="1"/>
  <c r="O59" i="4" a="1"/>
  <c r="U80" i="4" a="1"/>
  <c r="AC137" i="4" a="1"/>
  <c r="T101" i="4" a="1"/>
  <c r="AG144" i="4"/>
  <c r="D24" i="2" a="1"/>
  <c r="V121" i="4" a="1"/>
  <c r="X69" i="4" a="1"/>
  <c r="X101" i="4" a="1"/>
  <c r="AB93" i="4" a="1"/>
  <c r="AC130" i="4" a="1"/>
  <c r="L5" i="2" a="1"/>
  <c r="J4" i="2" a="1"/>
  <c r="AH123" i="4"/>
  <c r="X89" i="4" a="1"/>
  <c r="O81" i="4" a="1"/>
  <c r="AB140" i="4" a="1"/>
  <c r="M125" i="4" a="1"/>
  <c r="X122" i="4" a="1"/>
  <c r="P26" i="4" a="1"/>
  <c r="U99" i="4" a="1"/>
  <c r="V59" i="4" a="1"/>
  <c r="Z48" i="4" a="1"/>
  <c r="P28" i="4" a="1"/>
  <c r="AB69" i="4" a="1"/>
  <c r="N111" i="4" a="1"/>
  <c r="AH61" i="4"/>
  <c r="Z113" i="4" a="1"/>
  <c r="U97" i="4" a="1"/>
  <c r="AE14" i="4" a="1"/>
  <c r="AF75" i="4" a="1"/>
  <c r="M93" i="4" a="1"/>
  <c r="P98" i="4" a="1"/>
  <c r="AH154" i="4"/>
  <c r="Z90" i="4" a="1"/>
  <c r="Z59" i="4" a="1"/>
  <c r="W101" i="4" a="1"/>
  <c r="S90" i="4"/>
  <c r="W44" i="4" a="1"/>
  <c r="N35" i="4" a="1"/>
  <c r="T10" i="4" a="1"/>
  <c r="S150" i="4"/>
  <c r="AC126" i="4" a="1"/>
  <c r="AG145" i="4"/>
  <c r="X49" i="4" a="1"/>
  <c r="AD73" i="4" a="1"/>
  <c r="M10" i="2" a="1"/>
  <c r="P117" i="4" a="1"/>
  <c r="AC69" i="4" a="1"/>
  <c r="AB158" i="4" a="1"/>
  <c r="Y84" i="4" a="1"/>
  <c r="Q53" i="4"/>
  <c r="P94" i="4" a="1"/>
  <c r="AH25" i="4"/>
  <c r="Q80" i="4"/>
  <c r="W139" i="4" a="1"/>
  <c r="V143" i="4" a="1"/>
  <c r="V117" i="4" a="1"/>
  <c r="S156" i="4"/>
  <c r="S15" i="4"/>
  <c r="S100" i="4"/>
  <c r="U131" i="4" a="1"/>
  <c r="O110" i="4" a="1"/>
  <c r="P157" i="4" a="1"/>
  <c r="Y133" i="4" a="1"/>
  <c r="U100" i="4" a="1"/>
  <c r="Y101" i="4" a="1"/>
  <c r="V62" i="4" a="1"/>
  <c r="Z159" i="4" a="1"/>
  <c r="AB83" i="4" a="1"/>
  <c r="M122" i="4" a="1"/>
  <c r="AC131" i="4" a="1"/>
  <c r="S20" i="4"/>
  <c r="I19" i="2" a="1"/>
  <c r="AB137" i="4" a="1"/>
  <c r="AG105" i="4"/>
  <c r="W102" i="4" a="1"/>
  <c r="P45" i="4" a="1"/>
  <c r="N70" i="4" a="1"/>
  <c r="O87" i="4" a="1"/>
  <c r="AE88" i="4" a="1"/>
  <c r="AG137" i="4"/>
  <c r="Y22" i="4" a="1"/>
  <c r="AC91" i="4" a="1"/>
  <c r="AH128" i="4"/>
  <c r="AD130" i="4" a="1"/>
  <c r="Q55" i="4"/>
  <c r="K19" i="2" a="1"/>
  <c r="W137" i="4" a="1"/>
  <c r="AG53" i="4"/>
  <c r="P147" i="4" a="1"/>
  <c r="Z39" i="4" a="1"/>
  <c r="AG10" i="4"/>
  <c r="N84" i="4" a="1"/>
  <c r="O127" i="4" a="1"/>
  <c r="AG44" i="4"/>
  <c r="AG119" i="4"/>
  <c r="T52" i="4" a="1"/>
  <c r="E7" i="2" a="1"/>
  <c r="Q130" i="4"/>
  <c r="AG108" i="4"/>
  <c r="S119" i="4"/>
  <c r="AD145" i="4" a="1"/>
  <c r="AF131" i="4" a="1"/>
  <c r="V52" i="4" a="1"/>
  <c r="S35" i="4"/>
  <c r="T75" i="4" a="1"/>
  <c r="AG131" i="4"/>
  <c r="AG130" i="4"/>
  <c r="AH75" i="4"/>
  <c r="U65" i="4" a="1"/>
  <c r="U96" i="4" a="1"/>
  <c r="P34" i="4" a="1"/>
  <c r="AB100" i="4" a="1"/>
  <c r="AH125" i="4"/>
  <c r="Q135" i="4"/>
  <c r="Q29" i="4"/>
  <c r="W105" i="4" a="1"/>
  <c r="AH76" i="4"/>
  <c r="AB139" i="4" a="1"/>
  <c r="O73" i="4" a="1"/>
  <c r="Z122" i="4" a="1"/>
  <c r="N78" i="4" a="1"/>
  <c r="X119" i="4" a="1"/>
  <c r="Z97" i="4" a="1"/>
  <c r="O128" i="4" a="1"/>
  <c r="P80" i="4" a="1"/>
  <c r="O116" i="4" a="1"/>
  <c r="AD56" i="4" a="1"/>
  <c r="AE132" i="4" a="1"/>
  <c r="AH23" i="4"/>
  <c r="E9" i="2" a="1"/>
  <c r="W154" i="4" a="1"/>
  <c r="N105" i="4" a="1"/>
  <c r="D3" i="2" a="1"/>
  <c r="AH30" i="4"/>
  <c r="V131" i="4" a="1"/>
  <c r="S152" i="4"/>
  <c r="AG153" i="4"/>
  <c r="M127" i="4" a="1"/>
  <c r="N134" i="4" a="1"/>
  <c r="Q127" i="4"/>
  <c r="U146" i="4" a="1"/>
  <c r="W132" i="4" a="1"/>
  <c r="T143" i="4" a="1"/>
  <c r="K7" i="2" a="1"/>
  <c r="Q16" i="4"/>
  <c r="AH138" i="4"/>
  <c r="M37" i="4" a="1"/>
  <c r="Q63" i="4"/>
  <c r="S29" i="4"/>
  <c r="AH17" i="4"/>
  <c r="M112" i="4" a="1"/>
  <c r="N137" i="4" a="1"/>
  <c r="AG91" i="4"/>
  <c r="Q109" i="4"/>
  <c r="N68" i="4" a="1"/>
  <c r="AE123" i="4" a="1"/>
  <c r="N71" i="4" a="1"/>
  <c r="AD29" i="4" a="1"/>
  <c r="AH57" i="4"/>
  <c r="AB149" i="4" a="1"/>
  <c r="T18" i="4" a="1"/>
  <c r="S7" i="4"/>
  <c r="P7" i="4" a="1"/>
  <c r="X81" i="4" a="1"/>
  <c r="AH118" i="4"/>
  <c r="AF115" i="4" a="1"/>
  <c r="T158" i="4" a="1"/>
  <c r="P149" i="4" a="1"/>
  <c r="X53" i="4" a="1"/>
  <c r="T126" i="4" a="1"/>
  <c r="O10" i="4" a="1"/>
  <c r="P124" i="4" a="1"/>
  <c r="Y132" i="4" a="1"/>
  <c r="Y154" i="4" a="1"/>
  <c r="T139" i="4" a="1"/>
  <c r="N141" i="4" a="1"/>
  <c r="T88" i="4" a="1"/>
  <c r="Y128" i="4" a="1"/>
  <c r="M10" i="4" a="1"/>
  <c r="AH34" i="4"/>
  <c r="AC89" i="4" a="1"/>
  <c r="AH59" i="4"/>
  <c r="AC15" i="4" a="1"/>
  <c r="U156" i="4" a="1"/>
  <c r="O48" i="4" a="1"/>
  <c r="AF53" i="4" a="1"/>
  <c r="AC16" i="4" a="1"/>
  <c r="F11" i="2" a="1"/>
  <c r="AC149" i="4" a="1"/>
  <c r="T120" i="4" a="1"/>
  <c r="M109" i="4" a="1"/>
  <c r="AE95" i="4" a="1"/>
  <c r="AD8" i="4" a="1"/>
  <c r="O144" i="4" a="1"/>
  <c r="Q83" i="4"/>
  <c r="W45" i="4" a="1"/>
  <c r="T69" i="4" a="1"/>
  <c r="M114" i="4" a="1"/>
  <c r="AH103" i="4"/>
  <c r="N103" i="4" a="1"/>
  <c r="M85" i="4" a="1"/>
  <c r="AH48" i="4"/>
  <c r="AG55" i="4"/>
  <c r="AG25" i="4"/>
  <c r="AE96" i="4" a="1"/>
  <c r="N94" i="4" a="1"/>
  <c r="AF151" i="4" a="1"/>
  <c r="N128" i="4" a="1"/>
  <c r="N22" i="2"/>
  <c r="M120" i="4" a="1"/>
  <c r="L7" i="2" a="1"/>
  <c r="X115" i="4" a="1"/>
  <c r="O154" i="4" a="1"/>
  <c r="AF144" i="4" a="1"/>
  <c r="AF157" i="4" a="1"/>
  <c r="T28" i="4" a="1"/>
  <c r="Y49" i="4" a="1"/>
  <c r="Q7" i="4"/>
  <c r="W40" i="4" a="1"/>
  <c r="U135" i="4" a="1"/>
  <c r="Q37" i="4"/>
  <c r="AB20" i="4" a="1"/>
  <c r="AB26" i="4" a="1"/>
  <c r="V118" i="4" a="1"/>
  <c r="Z143" i="4" a="1"/>
  <c r="H8" i="2" a="1"/>
  <c r="Q114" i="4"/>
  <c r="V136" i="4" a="1"/>
  <c r="T91" i="4" a="1"/>
  <c r="Q143" i="4"/>
  <c r="D13" i="2" a="1"/>
  <c r="S153" i="4"/>
  <c r="AB64" i="4" a="1"/>
  <c r="P37" i="4" a="1"/>
  <c r="O72" i="4" a="1"/>
  <c r="AH38" i="4"/>
  <c r="N52" i="4" a="1"/>
  <c r="AC129" i="4" a="1"/>
  <c r="AC150" i="4" a="1"/>
  <c r="AG63" i="4"/>
  <c r="AG65" i="4"/>
  <c r="O42" i="4" a="1"/>
  <c r="S57" i="4"/>
  <c r="N23" i="4" a="1"/>
  <c r="M46" i="4" a="1"/>
  <c r="AH32" i="4"/>
  <c r="M144" i="4" a="1"/>
  <c r="Z56" i="4" a="1"/>
  <c r="W106" i="4" a="1"/>
  <c r="Y159" i="4" a="1"/>
  <c r="Z133" i="4" a="1"/>
  <c r="U151" i="4" a="1"/>
  <c r="U8" i="4" a="1"/>
  <c r="X88" i="4" a="1"/>
  <c r="E5" i="2" a="1"/>
  <c r="AE127" i="4" a="1"/>
  <c r="T87" i="4" a="1"/>
  <c r="X133" i="4" a="1"/>
  <c r="I8" i="2" a="1"/>
  <c r="AF61" i="4" a="1"/>
  <c r="P155" i="4" a="1"/>
  <c r="T100" i="4" a="1"/>
  <c r="Q153" i="4"/>
  <c r="AD18" i="4" a="1"/>
  <c r="P90" i="4" a="1"/>
  <c r="X135" i="4" a="1"/>
  <c r="O62" i="4" a="1"/>
  <c r="AA136" i="4" a="1"/>
  <c r="AH84" i="4"/>
  <c r="AG41" i="4"/>
  <c r="P15" i="4" a="1"/>
  <c r="AE43" i="4" a="1"/>
  <c r="V119" i="4" a="1"/>
  <c r="O130" i="4" a="1"/>
  <c r="Z146" i="4" a="1"/>
  <c r="U42" i="4" a="1"/>
  <c r="X98" i="4" a="1"/>
  <c r="I7" i="2" a="1"/>
  <c r="M116" i="4" a="1"/>
  <c r="AB142" i="4" a="1"/>
  <c r="AA13" i="4" a="1"/>
  <c r="AA109" i="4" a="1"/>
  <c r="AG47" i="4"/>
  <c r="AD128" i="4" a="1"/>
  <c r="Y68" i="4" a="1"/>
  <c r="V7" i="4" a="1"/>
  <c r="S28" i="4"/>
  <c r="AA156" i="4" a="1"/>
  <c r="P82" i="4" a="1"/>
  <c r="S61" i="4"/>
  <c r="Y59" i="4" a="1"/>
  <c r="AH24" i="4"/>
  <c r="S134" i="4"/>
  <c r="AB72" i="4" a="1"/>
  <c r="AG35" i="4"/>
  <c r="W152" i="4" a="1"/>
  <c r="AG129" i="4"/>
  <c r="O11" i="4" a="1"/>
  <c r="Q41" i="4"/>
  <c r="V140" i="4" a="1"/>
  <c r="AD156" i="4" a="1"/>
  <c r="N127" i="4" a="1"/>
  <c r="S91" i="4"/>
  <c r="AG132" i="4"/>
  <c r="P20" i="4" a="1"/>
  <c r="N49" i="4" a="1"/>
  <c r="AG157" i="4"/>
  <c r="O111" i="4" a="1"/>
  <c r="S121" i="4"/>
  <c r="AC36" i="4" a="1"/>
  <c r="AF158" i="4" a="1"/>
  <c r="AB113" i="4" a="1"/>
  <c r="V154" i="4" a="1"/>
  <c r="T57" i="4" a="1"/>
  <c r="AC148" i="4" a="1"/>
  <c r="AG128" i="4"/>
  <c r="AE128" i="4" a="1"/>
  <c r="N83" i="4" a="1"/>
  <c r="X126" i="4" a="1"/>
  <c r="N150" i="4" a="1"/>
  <c r="P69" i="4" a="1"/>
  <c r="AG21" i="4"/>
  <c r="Q159" i="4"/>
  <c r="Q73" i="4"/>
  <c r="P101" i="4" a="1"/>
  <c r="AH49" i="4"/>
  <c r="AC71" i="4" a="1"/>
  <c r="N38" i="4" a="1"/>
  <c r="U91" i="4" a="1"/>
  <c r="AD143" i="4" a="1"/>
  <c r="AF18" i="4" a="1"/>
  <c r="T152" i="4" a="1"/>
  <c r="AH18" i="4"/>
  <c r="AF142" i="4" a="1"/>
  <c r="Q100" i="4"/>
  <c r="AA55" i="4" a="1"/>
  <c r="X62" i="4" a="1"/>
  <c r="W145" i="4" a="1"/>
  <c r="V29" i="4" a="1"/>
  <c r="Q93" i="4"/>
  <c r="W142" i="4" a="1"/>
  <c r="N59" i="4" a="1"/>
  <c r="AE125" i="4" a="1"/>
  <c r="AG80" i="4"/>
  <c r="AH62" i="4"/>
  <c r="AD38" i="4" a="1"/>
  <c r="AA63" i="4" a="1"/>
  <c r="T157" i="4" a="1"/>
  <c r="E12" i="2" a="1"/>
  <c r="V127" i="4" a="1"/>
  <c r="AC90" i="4" a="1"/>
  <c r="AF136" i="4" a="1"/>
  <c r="Y56" i="4" a="1"/>
  <c r="S74" i="4"/>
  <c r="AA152" i="4" a="1"/>
  <c r="Q20" i="4"/>
  <c r="U62" i="4" a="1"/>
  <c r="Q97" i="4"/>
  <c r="AG103" i="4"/>
  <c r="S77" i="4"/>
  <c r="AE23" i="4" a="1"/>
  <c r="AH13" i="4"/>
  <c r="AA138" i="4" a="1"/>
  <c r="AE146" i="4" a="1"/>
  <c r="P106" i="4" a="1"/>
  <c r="Q149" i="4"/>
  <c r="Q46" i="4"/>
  <c r="O135" i="4" a="1"/>
  <c r="AG155" i="4"/>
  <c r="N99" i="4" a="1"/>
  <c r="AH107" i="4"/>
  <c r="AB153" i="4" a="1"/>
  <c r="S42" i="4"/>
  <c r="Z151" i="4" a="1"/>
  <c r="AF147" i="4" a="1"/>
  <c r="Q101" i="4"/>
  <c r="AA71" i="4" a="1"/>
  <c r="W159" i="4" a="1"/>
  <c r="Y156" i="4" a="1"/>
  <c r="AF138" i="4" a="1"/>
  <c r="Y140" i="4" a="1"/>
  <c r="F5" i="2" a="1"/>
  <c r="Q110" i="4"/>
  <c r="AD7" i="4" a="1"/>
  <c r="AE22" i="4" a="1"/>
  <c r="L23" i="2" a="1"/>
  <c r="AG93" i="4"/>
  <c r="AB121" i="4" a="1"/>
  <c r="AH16" i="4"/>
  <c r="V114" i="4" a="1"/>
  <c r="AF33" i="4" a="1"/>
  <c r="S54" i="4"/>
  <c r="V147" i="4" a="1"/>
  <c r="AG158" i="4"/>
  <c r="AH35" i="4"/>
  <c r="G23" i="2" a="1"/>
  <c r="AA61" i="4" a="1"/>
  <c r="T151" i="4" a="1"/>
  <c r="AC28" i="4" a="1"/>
  <c r="P42" i="4" a="1"/>
  <c r="U73" i="4" a="1"/>
  <c r="AH115" i="4"/>
  <c r="AH134" i="4"/>
  <c r="S78" i="4"/>
  <c r="V38" i="4" a="1"/>
  <c r="AH41" i="4"/>
  <c r="AD153" i="4" a="1"/>
  <c r="AH102" i="4"/>
  <c r="N123" i="4" a="1"/>
  <c r="V76" i="4" a="1"/>
  <c r="AG9" i="4"/>
  <c r="AG151" i="4"/>
  <c r="AF83" i="4" a="1"/>
  <c r="P30" i="4" a="1"/>
  <c r="P108" i="4" a="1"/>
  <c r="Z71" i="4" a="1"/>
  <c r="M98" i="4" a="1"/>
  <c r="S140" i="4"/>
  <c r="J19" i="2" a="1"/>
  <c r="AH37" i="4"/>
  <c r="AF89" i="4" a="1"/>
  <c r="Z142" i="4" a="1"/>
  <c r="M149" i="4" a="1"/>
  <c r="AD104" i="4" a="1"/>
  <c r="AH112" i="4"/>
  <c r="J23" i="2" a="1"/>
  <c r="S92" i="4"/>
  <c r="S115" i="4"/>
  <c r="Q152" i="4"/>
  <c r="AG36" i="4"/>
  <c r="T44" i="4" a="1"/>
  <c r="Q112" i="4"/>
  <c r="AB40" i="4" a="1"/>
  <c r="Y149" i="4" a="1"/>
  <c r="O77" i="4" a="1"/>
  <c r="AC24" i="4" a="1"/>
  <c r="X90" i="4" a="1"/>
  <c r="W117" i="4" a="1"/>
  <c r="Q60" i="4"/>
  <c r="V134" i="4" a="1"/>
  <c r="AD11" i="4" a="1"/>
  <c r="T108" i="4" a="1"/>
  <c r="S133" i="4"/>
  <c r="AG127" i="4"/>
  <c r="Y12" i="4" a="1"/>
  <c r="AA9" i="4" a="1"/>
  <c r="P115" i="4" a="1"/>
  <c r="V97" i="4" a="1"/>
  <c r="AA112" i="4" a="1"/>
  <c r="AH69" i="4"/>
  <c r="W46" i="4" a="1"/>
  <c r="D6" i="2" a="1"/>
  <c r="T150" i="4" a="1"/>
  <c r="S30" i="4"/>
  <c r="U105" i="4" a="1"/>
  <c r="Q99" i="4"/>
  <c r="W136" i="4" a="1"/>
  <c r="AA70" i="4" a="1"/>
  <c r="Y61" i="4" a="1"/>
  <c r="Y80" i="4" a="1"/>
  <c r="S70" i="4"/>
  <c r="AC70" i="4" a="1"/>
  <c r="Z118" i="4" a="1"/>
  <c r="AB25" i="4" a="1"/>
  <c r="AA153" i="4" a="1"/>
  <c r="AC108" i="4" a="1"/>
  <c r="U60" i="4" a="1"/>
  <c r="P47" i="4" a="1"/>
  <c r="AF150" i="4" a="1"/>
  <c r="X142" i="4" a="1"/>
  <c r="Q157" i="4"/>
  <c r="AE86" i="4" a="1"/>
  <c r="AC147" i="4" a="1"/>
  <c r="AG85" i="4"/>
  <c r="M6" i="2" a="1"/>
  <c r="M4" i="2" a="1"/>
  <c r="S69" i="4"/>
  <c r="N10" i="2"/>
  <c r="AG23" i="4"/>
  <c r="S67" i="4"/>
  <c r="AF154" i="4" a="1"/>
  <c r="X124" i="4" a="1"/>
  <c r="AH151" i="4"/>
  <c r="W100" i="4" a="1"/>
  <c r="AE50" i="4" a="1"/>
  <c r="Y89" i="4" a="1"/>
  <c r="U129" i="4" a="1"/>
  <c r="N4" i="2"/>
  <c r="AA7" i="4" a="1"/>
  <c r="AF7" i="4" a="1"/>
  <c r="AE151" i="4" a="1"/>
  <c r="AC103" i="4" a="1"/>
  <c r="AB128" i="4" a="1"/>
  <c r="AG113" i="4"/>
  <c r="O136" i="4" a="1"/>
  <c r="M143" i="4" a="1"/>
  <c r="AG90" i="4"/>
  <c r="AH135" i="4"/>
  <c r="S132" i="4"/>
  <c r="J13" i="2" a="1"/>
  <c r="Q56" i="4"/>
  <c r="S158" i="4"/>
  <c r="N42" i="4" a="1"/>
  <c r="Y28" i="4" a="1"/>
  <c r="Q30" i="4"/>
  <c r="T127" i="4" a="1"/>
  <c r="AH21" i="4"/>
  <c r="S37" i="4"/>
  <c r="AH66" i="4"/>
  <c r="Z70" i="4" a="1"/>
  <c r="Y153" i="4" a="1"/>
  <c r="W74" i="4" a="1"/>
  <c r="Q57" i="4"/>
  <c r="T63" i="4" a="1"/>
  <c r="AE109" i="4" a="1"/>
  <c r="AB84" i="4" a="1"/>
  <c r="P105" i="4" a="1"/>
  <c r="N148" i="4" a="1"/>
  <c r="U66" i="4" a="1"/>
  <c r="T132" i="4" a="1"/>
  <c r="G7" i="2" a="1"/>
  <c r="AB151" i="4" a="1"/>
  <c r="T35" i="4" a="1"/>
  <c r="AH143" i="4"/>
  <c r="Q75" i="4"/>
  <c r="O133" i="4" a="1"/>
  <c r="AB134" i="4" a="1"/>
  <c r="AF88" i="4" a="1"/>
  <c r="D8" i="2" a="1"/>
  <c r="V86" i="4" a="1"/>
  <c r="AD95" i="4" a="1"/>
  <c r="AD9" i="4" a="1"/>
  <c r="Q78" i="4"/>
  <c r="W116" i="4" a="1"/>
  <c r="M32" i="4" a="1"/>
  <c r="P128" i="4" a="1"/>
  <c r="P116" i="4" a="1"/>
  <c r="AB150" i="4" a="1"/>
  <c r="AB147" i="4" a="1"/>
  <c r="AE124" i="4" a="1"/>
  <c r="U142" i="4" a="1"/>
  <c r="AG110" i="4"/>
  <c r="AG61" i="4"/>
  <c r="S93" i="4"/>
  <c r="AG39" i="4"/>
  <c r="AB146" i="4" a="1"/>
  <c r="M102" i="4" a="1"/>
  <c r="V65" i="4" a="1"/>
  <c r="V28" i="4" a="1"/>
  <c r="P56" i="4" a="1"/>
  <c r="N87" i="4" a="1"/>
  <c r="AH60" i="4"/>
  <c r="P76" i="4" a="1"/>
  <c r="W92" i="4" a="1"/>
  <c r="AA87" i="4" a="1"/>
  <c r="AF62" i="4" a="1"/>
  <c r="Z24" i="4" a="1"/>
  <c r="Z124" i="4" a="1"/>
  <c r="AH22" i="4"/>
  <c r="AC17" i="4" a="1"/>
  <c r="S44" i="4"/>
  <c r="Z55" i="4" a="1"/>
  <c r="T94" i="4" a="1"/>
  <c r="AG19" i="4"/>
  <c r="P64" i="4" a="1"/>
  <c r="O107" i="4" a="1"/>
  <c r="U143" i="4" a="1"/>
  <c r="H18" i="2" a="1"/>
  <c r="X74" i="4" a="1"/>
  <c r="AH140" i="4"/>
  <c r="P96" i="4" a="1"/>
  <c r="AD10" i="4" a="1"/>
  <c r="O118" i="4" a="1"/>
  <c r="AH91" i="4"/>
  <c r="T61" i="4" a="1"/>
  <c r="AE67" i="4" a="1"/>
  <c r="AH53" i="4"/>
  <c r="Q147" i="4"/>
  <c r="AG15" i="4"/>
  <c r="N19" i="2"/>
  <c r="AF114" i="4" a="1"/>
  <c r="AF39" i="4" a="1"/>
  <c r="S149" i="4"/>
  <c r="M123" i="4" a="1"/>
  <c r="AH97" i="4"/>
  <c r="P75" i="4" a="1"/>
  <c r="AH155" i="4"/>
  <c r="T42" i="4" a="1"/>
  <c r="AH43" i="4"/>
  <c r="AG64" i="4"/>
  <c r="X85" i="4" a="1"/>
  <c r="AG124" i="4"/>
  <c r="AF48" i="4" a="1"/>
  <c r="AG94" i="4"/>
  <c r="AG147" i="4"/>
  <c r="AG88" i="4"/>
  <c r="Z7" i="4" a="1"/>
  <c r="AA34" i="4" a="1"/>
  <c r="X108" i="4" a="1"/>
  <c r="O100" i="4" a="1"/>
  <c r="S94" i="4"/>
  <c r="T153" i="4" a="1"/>
  <c r="Q47" i="4"/>
  <c r="Z88" i="4" a="1"/>
  <c r="O157" i="4" a="1"/>
  <c r="AC159" i="4" a="1"/>
  <c r="AC143" i="4" a="1"/>
  <c r="V27" i="4" a="1"/>
  <c r="N97" i="4" a="1"/>
  <c r="U113" i="4" a="1"/>
  <c r="AB148" i="4" a="1"/>
  <c r="I12" i="2" a="1"/>
  <c r="AE139" i="4" a="1"/>
  <c r="AG31" i="4"/>
  <c r="AC156" i="4" a="1"/>
  <c r="AD31" i="4" a="1"/>
  <c r="O98" i="4" a="1"/>
  <c r="K6" i="2" a="1"/>
  <c r="AH93" i="4"/>
  <c r="O146" i="4" a="1"/>
  <c r="N132" i="4" a="1"/>
  <c r="AE101" i="4" a="1"/>
  <c r="M23" i="4" a="1"/>
  <c r="AG13" i="4"/>
  <c r="V122" i="4" a="1"/>
  <c r="AB8" i="4" a="1"/>
  <c r="Q68" i="4"/>
  <c r="O89" i="4" a="1"/>
  <c r="AH47" i="4"/>
  <c r="O126" i="4" a="1"/>
  <c r="AF11" i="4" a="1"/>
  <c r="AG126" i="4"/>
  <c r="N158" i="4" a="1"/>
  <c r="P142" i="4" a="1"/>
  <c r="Z85" i="4" a="1"/>
  <c r="AA146" i="4" a="1"/>
  <c r="T106" i="4" a="1"/>
  <c r="Q102" i="4"/>
  <c r="Q122" i="4"/>
  <c r="AG109" i="4"/>
  <c r="AA57" i="4" a="1"/>
  <c r="T110" i="4" a="1"/>
  <c r="T46" i="4" a="1"/>
  <c r="M95" i="4" a="1"/>
  <c r="S125" i="4"/>
  <c r="F18" i="2" a="1"/>
  <c r="O148" i="4" a="1"/>
  <c r="AG84" i="4"/>
  <c r="U138" i="4" a="1"/>
  <c r="AG148" i="4"/>
  <c r="W75" i="4" a="1"/>
  <c r="AG20" i="4"/>
  <c r="AD74" i="4" a="1"/>
  <c r="Z98" i="4" a="1"/>
  <c r="Q17" i="4"/>
  <c r="H15" i="2" a="1"/>
  <c r="S43" i="4"/>
  <c r="AH129" i="4"/>
  <c r="AD118" i="4" a="1"/>
  <c r="P148" i="4" a="1"/>
  <c r="AC10" i="4" a="1"/>
  <c r="V125" i="4" a="1"/>
  <c r="AG14" i="4"/>
  <c r="Q62" i="4"/>
  <c r="Q35" i="4"/>
  <c r="U82" i="4" a="1"/>
  <c r="AE57" i="4" a="1"/>
  <c r="AD151" i="4" a="1"/>
  <c r="V77" i="4" a="1"/>
  <c r="P53" i="4" a="1"/>
  <c r="W26" i="4" a="1"/>
  <c r="Q119" i="4"/>
  <c r="N135" i="4" a="1"/>
  <c r="AF118" i="4" a="1"/>
  <c r="U107" i="4" a="1"/>
  <c r="AE31" i="4" a="1"/>
  <c r="L20" i="2" a="1"/>
  <c r="J6" i="2" a="1"/>
  <c r="AD149" i="4" a="1"/>
  <c r="S85" i="4"/>
  <c r="W126" i="4" a="1"/>
  <c r="Q22" i="4"/>
  <c r="L16" i="2" a="1"/>
  <c r="AA124" i="4" a="1"/>
  <c r="S112" i="4"/>
  <c r="X22" i="4" a="1"/>
  <c r="Q89" i="4"/>
  <c r="AF36" i="4" a="1"/>
  <c r="AB105" i="4" a="1"/>
  <c r="AF95" i="4" a="1"/>
  <c r="Q24" i="4"/>
  <c r="N53" i="4" a="1"/>
  <c r="T122" i="4" a="1"/>
  <c r="U25" i="4" a="1"/>
  <c r="AF32" i="4" a="1"/>
  <c r="W60" i="4" a="1"/>
  <c r="I6" i="2" a="1"/>
  <c r="T23" i="4" a="1"/>
  <c r="AA95" i="4" a="1"/>
  <c r="P67" i="4" a="1"/>
  <c r="N138" i="4" a="1"/>
  <c r="O124" i="4" a="1"/>
  <c r="H3" i="2" a="1"/>
  <c r="U44" i="4" a="1"/>
  <c r="U76" i="4" a="1"/>
  <c r="M8" i="2" a="1"/>
  <c r="AC141" i="4" a="1"/>
  <c r="Y8" i="4" a="1"/>
  <c r="N143" i="4" a="1"/>
  <c r="AF14" i="4" a="1"/>
  <c r="AD72" i="4" a="1"/>
  <c r="O97" i="4" a="1"/>
  <c r="U14" i="4" a="1"/>
  <c r="N23" i="2"/>
  <c r="X40" i="4" a="1"/>
  <c r="K20" i="2" a="1"/>
  <c r="AG92" i="4"/>
  <c r="S55" i="4"/>
  <c r="U13" i="4" a="1"/>
  <c r="V94" i="4" a="1"/>
  <c r="N25" i="4" a="1"/>
  <c r="AA103" i="4" a="1"/>
  <c r="AA117" i="4" a="1"/>
  <c r="AH12" i="4"/>
  <c r="AH99" i="4"/>
  <c r="V106" i="4" a="1"/>
  <c r="Q76" i="4"/>
  <c r="AE108" i="4" a="1"/>
  <c r="Y113" i="4" a="1"/>
  <c r="AC47" i="4" a="1"/>
  <c r="N75" i="4" a="1"/>
  <c r="AD39" i="4" a="1"/>
  <c r="I15" i="2" a="1"/>
  <c r="X129" i="4" a="1"/>
  <c r="V89" i="4" a="1"/>
  <c r="S113" i="4"/>
  <c r="N122" i="4" a="1"/>
  <c r="S109" i="4"/>
  <c r="T80" i="4" a="1"/>
  <c r="AB75" i="4" a="1"/>
  <c r="AH120" i="4"/>
  <c r="G17" i="2" a="1"/>
  <c r="AE115" i="4" a="1"/>
  <c r="AE65" i="4" a="1"/>
  <c r="Y138" i="4" a="1"/>
  <c r="J5" i="2" a="1"/>
  <c r="V142" i="4" a="1"/>
  <c r="AD68" i="4" a="1"/>
  <c r="AE117" i="4" a="1"/>
  <c r="U126" i="4" a="1"/>
  <c r="G6" i="2" a="1"/>
  <c r="Q91" i="4"/>
  <c r="F13" i="2" a="1"/>
  <c r="N126" i="4" a="1"/>
  <c r="AG51" i="4"/>
  <c r="M17" i="4" a="1"/>
  <c r="Y31" i="4" a="1"/>
  <c r="P52" i="4" a="1"/>
  <c r="I20" i="2" a="1"/>
  <c r="AG149" i="4"/>
  <c r="Q14" i="4"/>
  <c r="N130" i="4" a="1"/>
  <c r="AH147" i="4"/>
  <c r="AF67" i="4" a="1"/>
  <c r="K11" i="2" a="1"/>
  <c r="U55" i="4" a="1"/>
  <c r="AG159" i="4"/>
  <c r="X36" i="4" a="1"/>
  <c r="X103" i="4" a="1"/>
  <c r="U157" i="4" a="1"/>
  <c r="Z136" i="4" a="1"/>
  <c r="D19" i="2" a="1"/>
  <c r="AA81" i="4" a="1"/>
  <c r="S81" i="4"/>
  <c r="N36" i="4" a="1"/>
  <c r="AF124" i="4" a="1"/>
  <c r="AD116" i="4" a="1"/>
  <c r="AH153" i="4"/>
  <c r="W63" i="4" a="1"/>
  <c r="W129" i="4" a="1"/>
  <c r="O125" i="4" a="1"/>
  <c r="X114" i="4" a="1"/>
  <c r="AB91" i="4" a="1"/>
  <c r="V32" i="4" a="1"/>
  <c r="S47" i="4"/>
  <c r="W111" i="4" a="1"/>
  <c r="AG18" i="4"/>
  <c r="AC120" i="4" a="1"/>
  <c r="I18" i="2" a="1"/>
  <c r="S120" i="4"/>
  <c r="Q27" i="4"/>
  <c r="M131" i="4" a="1"/>
  <c r="N93" i="4" a="1"/>
  <c r="AB32" i="4" a="1"/>
  <c r="AH33" i="4"/>
  <c r="AD123" i="4" a="1"/>
  <c r="X18" i="4" a="1"/>
  <c r="S147" i="4"/>
  <c r="M55" i="4" a="1"/>
  <c r="AD50" i="4" a="1"/>
  <c r="S68" i="4"/>
  <c r="Z36" i="4" a="1"/>
  <c r="N14" i="2"/>
  <c r="M128" i="4" a="1"/>
  <c r="Y7" i="4" a="1"/>
  <c r="M11" i="4" a="1"/>
  <c r="AD54" i="4" a="1"/>
  <c r="M16" i="4" a="1"/>
  <c r="K12" i="2" a="1"/>
  <c r="AC99" i="4" a="1"/>
  <c r="N69" i="4" a="1"/>
  <c r="W29" i="4" a="1"/>
  <c r="AD125" i="4" a="1"/>
  <c r="AD37" i="4" a="1"/>
  <c r="AF45" i="4" a="1"/>
  <c r="P144" i="4" a="1"/>
  <c r="N44" i="4" a="1"/>
  <c r="U79" i="4" a="1"/>
  <c r="AC12" i="4" a="1"/>
  <c r="P135" i="4" a="1"/>
  <c r="AA22" i="4" a="1"/>
  <c r="AH117" i="4"/>
  <c r="AE114" i="4" a="1"/>
  <c r="S25" i="4"/>
  <c r="S143" i="4"/>
  <c r="W103" i="4" a="1"/>
  <c r="Y63" i="4" a="1"/>
  <c r="AC87" i="4" a="1"/>
  <c r="AC144" i="4" a="1"/>
  <c r="X61" i="4" a="1"/>
  <c r="AG140" i="4"/>
  <c r="Q95" i="4"/>
  <c r="V115" i="4" a="1"/>
  <c r="Y123" i="4" a="1"/>
  <c r="X121" i="4" a="1"/>
  <c r="W94" i="4" a="1"/>
  <c r="X24" i="4" a="1"/>
  <c r="Y46" i="4" a="1"/>
  <c r="Z132" i="4" a="1"/>
  <c r="AF30" i="4" a="1"/>
  <c r="AE69" i="4" a="1"/>
  <c r="AB77" i="4" a="1"/>
  <c r="M15" i="2" a="1"/>
  <c r="AH88" i="4"/>
  <c r="U147" i="4" a="1"/>
  <c r="Y146" i="4" a="1"/>
  <c r="AF130" i="4" a="1"/>
  <c r="AF143" i="4" a="1"/>
  <c r="T149" i="4" a="1"/>
  <c r="AA49" i="4" a="1"/>
  <c r="AF60" i="4" a="1"/>
  <c r="AD25" i="4" a="1"/>
  <c r="U78" i="4" a="1"/>
  <c r="W93" i="4" a="1"/>
  <c r="AF112" i="4" a="1"/>
  <c r="O51" i="4" a="1"/>
  <c r="Y98" i="4" a="1"/>
  <c r="AG100" i="4"/>
  <c r="M84" i="4" a="1"/>
  <c r="Y126" i="4" a="1"/>
  <c r="V73" i="4" a="1"/>
  <c r="AA159" i="4" a="1"/>
  <c r="AD47" i="4" a="1"/>
  <c r="AE148" i="4" a="1"/>
  <c r="S46" i="4"/>
  <c r="S87" i="4"/>
  <c r="N24" i="4" a="1"/>
  <c r="T7" i="4" a="1"/>
  <c r="P55" i="4" a="1"/>
  <c r="AF91" i="4" a="1"/>
  <c r="U53" i="4" a="1"/>
  <c r="AG89" i="4"/>
  <c r="W41" i="4" a="1"/>
  <c r="N20" i="2"/>
  <c r="T84" i="4" a="1"/>
  <c r="AA91" i="4" a="1"/>
  <c r="AA131" i="4" a="1"/>
  <c r="AB47" i="4" a="1"/>
  <c r="AG66" i="4"/>
  <c r="AD48" i="4" a="1"/>
  <c r="AG141" i="4"/>
  <c r="AE56" i="4" a="1"/>
  <c r="Z140" i="4" a="1"/>
  <c r="AA110" i="4" a="1"/>
  <c r="Y157" i="4" a="1"/>
  <c r="M8" i="4" a="1"/>
  <c r="AG29" i="4"/>
  <c r="S65" i="4"/>
  <c r="AF24" i="4" a="1"/>
  <c r="AE52" i="4" a="1"/>
  <c r="Z152" i="4" a="1"/>
  <c r="Q82" i="4"/>
  <c r="Z104" i="4" a="1"/>
  <c r="P137" i="4" a="1"/>
  <c r="AE8" i="4" a="1"/>
  <c r="AG22" i="4"/>
  <c r="AB115" i="4" a="1"/>
  <c r="Y14" i="4" a="1"/>
  <c r="V72" i="4" a="1"/>
  <c r="AA26" i="4" a="1"/>
  <c r="X92" i="4" a="1"/>
  <c r="N140" i="4" a="1"/>
  <c r="AF106" i="4" a="1"/>
  <c r="AA69" i="4" a="1"/>
  <c r="H9" i="2" a="1"/>
  <c r="W115" i="4" a="1"/>
  <c r="N136" i="4" a="1"/>
  <c r="AH79" i="4"/>
  <c r="Z34" i="4" a="1"/>
  <c r="AG150" i="4"/>
  <c r="Z15" i="4" a="1"/>
  <c r="AH142" i="4"/>
  <c r="Q51" i="4"/>
  <c r="S88" i="4"/>
  <c r="AG48" i="4"/>
  <c r="AE121" i="4" a="1"/>
  <c r="AD154" i="4" a="1"/>
  <c r="T29" i="4" a="1"/>
  <c r="Q90" i="4"/>
  <c r="V13" i="4" a="1"/>
  <c r="Z61" i="4" a="1"/>
  <c r="O104" i="4" a="1"/>
  <c r="AG112" i="4"/>
  <c r="K24" i="2" a="1"/>
  <c r="T123" i="4" a="1"/>
  <c r="AB61" i="4" a="1"/>
  <c r="AF64" i="4" a="1"/>
  <c r="H14" i="2" a="1"/>
  <c r="AD36" i="4" a="1"/>
  <c r="AE112" i="4" a="1"/>
  <c r="Y66" i="4" a="1"/>
  <c r="M150" i="4" a="1"/>
  <c r="X110" i="4" a="1"/>
  <c r="Y52" i="4" a="1"/>
  <c r="Z92" i="4" a="1"/>
  <c r="AA25" i="4" a="1"/>
  <c r="S21" i="4"/>
  <c r="N79" i="4" a="1"/>
  <c r="AH94" i="4"/>
  <c r="S40" i="4"/>
  <c r="AB130" i="4" a="1"/>
  <c r="AD134" i="4" a="1"/>
  <c r="AA127" i="4" a="1"/>
  <c r="AB55" i="4" a="1"/>
  <c r="M64" i="4" a="1"/>
  <c r="AH19" i="4"/>
  <c r="AA84" i="4" a="1"/>
  <c r="D16" i="2" a="1"/>
  <c r="Z150" i="4" a="1"/>
  <c r="S18" i="4"/>
  <c r="AD117" i="4" a="1"/>
  <c r="AC14" i="4" a="1"/>
  <c r="X137" i="4" a="1"/>
  <c r="AB144" i="4" a="1"/>
  <c r="T136" i="4" a="1"/>
  <c r="AH27" i="4"/>
  <c r="AC142" i="4" a="1"/>
  <c r="AF146" i="4" a="1"/>
  <c r="AH67" i="4"/>
  <c r="G12" i="2" a="1"/>
  <c r="N152" i="4" a="1"/>
  <c r="U24" i="4" a="1"/>
  <c r="AD94" i="4" a="1"/>
  <c r="S56" i="4"/>
  <c r="AA98" i="4" a="1"/>
  <c r="AE111" i="4" a="1"/>
  <c r="Q107" i="4"/>
  <c r="AE137" i="4" a="1"/>
  <c r="Y158" i="4" a="1"/>
  <c r="X140" i="4" a="1"/>
  <c r="AG95" i="4"/>
  <c r="AG156" i="4"/>
  <c r="O86" i="4" a="1"/>
  <c r="AH68" i="4"/>
  <c r="Z138" i="4" a="1"/>
  <c r="AD26" i="4" a="1"/>
  <c r="AA113" i="4" a="1"/>
  <c r="M121" i="4" a="1"/>
  <c r="AE154" i="4" a="1"/>
  <c r="O129" i="4" a="1"/>
  <c r="U132" i="4" a="1"/>
  <c r="X56" i="4" a="1"/>
  <c r="U95" i="4" a="1"/>
  <c r="AH78" i="4"/>
  <c r="V150" i="4" a="1"/>
  <c r="AB97" i="4" a="1"/>
  <c r="W110" i="4" a="1"/>
  <c r="Y120" i="4" a="1"/>
  <c r="Q138" i="4"/>
  <c r="Y62" i="4" a="1"/>
  <c r="N108" i="4" a="1"/>
  <c r="M100" i="4" a="1"/>
  <c r="O29" i="4" a="1"/>
  <c r="U88" i="4" a="1"/>
  <c r="AD91" i="4" a="1"/>
  <c r="AE80" i="4" a="1"/>
  <c r="T159" i="4" a="1"/>
  <c r="S108" i="4"/>
  <c r="AC96" i="4" a="1"/>
  <c r="N131" i="4" a="1"/>
  <c r="Q85" i="4"/>
  <c r="T51" i="4" a="1"/>
  <c r="Z95" i="4" a="1"/>
  <c r="G22" i="2" a="1"/>
  <c r="AH70" i="4"/>
  <c r="M139" i="4" a="1"/>
  <c r="X112" i="4" a="1"/>
  <c r="S8" i="4"/>
  <c r="W112" i="4" a="1"/>
  <c r="K17" i="2" a="1"/>
  <c r="AF38" i="4" a="1"/>
  <c r="Y76" i="4" a="1"/>
  <c r="S154" i="4"/>
  <c r="Y39" i="4" a="1"/>
  <c r="AA133" i="4" a="1"/>
  <c r="N82" i="4" a="1"/>
  <c r="N62" i="4" a="1"/>
  <c r="T11" i="4" a="1"/>
  <c r="S17" i="4"/>
  <c r="H16" i="2" a="1"/>
  <c r="P11" i="4" a="1"/>
  <c r="O38" i="4" a="1"/>
  <c r="M92" i="4" a="1"/>
  <c r="AE55" i="4" a="1"/>
  <c r="AF58" i="4" a="1"/>
  <c r="Z14" i="4" a="1"/>
  <c r="Z105" i="4" a="1"/>
  <c r="P61" i="4" a="1"/>
  <c r="AB15" i="4" a="1"/>
  <c r="Q148" i="4"/>
  <c r="N11" i="2"/>
  <c r="Q74" i="4"/>
  <c r="Q123" i="4"/>
  <c r="P44" i="4" a="1"/>
  <c r="AE159" i="4" a="1"/>
  <c r="V78" i="4" a="1"/>
  <c r="M74" i="4" a="1"/>
  <c r="M54" i="4" a="1"/>
  <c r="Y151" i="4" a="1"/>
  <c r="U155" i="4" a="1"/>
  <c r="AC23" i="4" a="1"/>
  <c r="Q25" i="4"/>
  <c r="AD82" i="4" a="1"/>
  <c r="W53" i="4" a="1"/>
  <c r="U139" i="4" a="1"/>
  <c r="S148" i="4"/>
  <c r="U87" i="4" a="1"/>
  <c r="AD20" i="4" a="1"/>
  <c r="S116" i="4"/>
  <c r="U31" i="4" a="1"/>
  <c r="Q71" i="4"/>
  <c r="Q134" i="4"/>
  <c r="P110" i="4" a="1"/>
  <c r="N26" i="4" a="1"/>
  <c r="Z57" i="4" a="1"/>
  <c r="AD110" i="4" a="1"/>
  <c r="W59" i="4" a="1"/>
  <c r="Z100" i="4" a="1"/>
  <c r="P126" i="4" a="1"/>
  <c r="AE93" i="4" a="1"/>
  <c r="AB99" i="4" a="1"/>
  <c r="V108" i="4" a="1"/>
  <c r="X46" i="4" a="1"/>
  <c r="AA29" i="4" a="1"/>
  <c r="Z112" i="4" a="1"/>
  <c r="Z101" i="4" a="1"/>
  <c r="D21" i="2" a="1"/>
  <c r="AD101" i="4" a="1"/>
  <c r="Q136" i="4"/>
  <c r="E25" i="2" a="1"/>
  <c r="AB65" i="4" a="1"/>
  <c r="P95" i="4" a="1"/>
  <c r="M148" i="4" a="1"/>
  <c r="S136" i="4"/>
  <c r="AE130" i="4" a="1"/>
  <c r="V33" i="4" a="1"/>
  <c r="O96" i="4" a="1"/>
  <c r="AA43" i="4" a="1"/>
  <c r="AE105" i="4" a="1"/>
  <c r="Y88" i="4" a="1"/>
  <c r="AC154" i="4" a="1"/>
  <c r="Y141" i="4" a="1"/>
  <c r="AA151" i="4" a="1"/>
  <c r="U152" i="4" a="1"/>
  <c r="N104" i="4" a="1"/>
  <c r="AD133" i="4" a="1"/>
  <c r="X23" i="4" a="1"/>
  <c r="AF134" i="4" a="1"/>
  <c r="AE11" i="4" a="1"/>
  <c r="AC138" i="4" a="1"/>
  <c r="AC104" i="4" a="1"/>
  <c r="W56" i="4" a="1"/>
  <c r="AD152" i="4" a="1"/>
  <c r="AH159" i="4"/>
  <c r="U29" i="4" a="1"/>
  <c r="Z20" i="4" a="1"/>
  <c r="O159" i="4" a="1"/>
  <c r="S102" i="4"/>
  <c r="AG135" i="4"/>
  <c r="AG67" i="4"/>
  <c r="N119" i="4" a="1"/>
  <c r="Q87" i="4"/>
  <c r="T27" i="4" a="1"/>
  <c r="N157" i="4" a="1"/>
  <c r="AH144" i="4"/>
  <c r="AF27" i="4" a="1"/>
  <c r="W109" i="4" a="1"/>
  <c r="X117" i="4" a="1"/>
  <c r="S73" i="4"/>
  <c r="AA44" i="4" a="1"/>
  <c r="Q113" i="4"/>
  <c r="AG107" i="4"/>
  <c r="AA100" i="4" a="1"/>
  <c r="W32" i="4" a="1"/>
  <c r="AA36" i="4" a="1"/>
  <c r="S95" i="4"/>
  <c r="P120" i="4" a="1"/>
  <c r="Z130" i="4" a="1"/>
  <c r="S53" i="4"/>
  <c r="N58" i="4" a="1"/>
  <c r="AC146" i="4" a="1"/>
  <c r="Y25" i="4" a="1"/>
  <c r="V15" i="4" a="1"/>
  <c r="AH72" i="4"/>
  <c r="AE100" i="4" a="1"/>
  <c r="AG30" i="4"/>
  <c r="AD15" i="4" a="1"/>
  <c r="AG154" i="4"/>
  <c r="X79" i="4" a="1"/>
  <c r="AB98" i="4" a="1"/>
  <c r="V133" i="4" a="1"/>
  <c r="Z135" i="4" a="1"/>
  <c r="W69" i="4" a="1"/>
  <c r="AA128" i="4" a="1"/>
  <c r="AH132" i="4"/>
  <c r="T131" i="4" a="1"/>
  <c r="AH139" i="4"/>
  <c r="AG72" i="4"/>
  <c r="O80" i="4" a="1"/>
  <c r="V46" i="4" a="1"/>
  <c r="S155" i="4"/>
  <c r="O132" i="4" a="1"/>
  <c r="AB116" i="4" a="1"/>
  <c r="T117" i="4" a="1"/>
  <c r="J9" i="2" a="1"/>
  <c r="AG122" i="4"/>
  <c r="M25" i="2" a="1"/>
  <c r="U149" i="4" a="1"/>
  <c r="AD99" i="4" a="1"/>
  <c r="AC80" i="4" a="1"/>
  <c r="W96" i="4" a="1"/>
  <c r="AA47" i="4" a="1"/>
  <c r="Z50" i="4" a="1"/>
  <c r="M101" i="4" a="1"/>
  <c r="M89" i="4" a="1"/>
  <c r="AH141" i="4"/>
  <c r="Q66" i="4"/>
  <c r="AD90" i="4" a="1"/>
  <c r="P35" i="4" a="1"/>
  <c r="AE141" i="4" a="1"/>
  <c r="AC58" i="4" a="1"/>
  <c r="AD100" i="4" a="1"/>
  <c r="AC42" i="4" a="1"/>
  <c r="AG54" i="4"/>
  <c r="Q67" i="4"/>
  <c r="Y143" i="4" a="1"/>
  <c r="S24" i="4"/>
  <c r="Y64" i="4" a="1"/>
  <c r="Q132" i="4"/>
  <c r="T72" i="4" a="1"/>
  <c r="S130" i="4"/>
  <c r="AG59" i="4"/>
  <c r="N147" i="4" a="1"/>
  <c r="Y9" i="4" a="1"/>
  <c r="P25" i="4" a="1"/>
  <c r="AF26" i="4" a="1"/>
  <c r="AH92" i="4"/>
  <c r="W8" i="4" a="1"/>
  <c r="M124" i="4" a="1"/>
  <c r="AF152" i="4" a="1"/>
  <c r="U117" i="4" a="1"/>
  <c r="S11" i="4"/>
  <c r="Z17" i="4" a="1"/>
  <c r="O149" i="4" a="1"/>
  <c r="P71" i="4" a="1"/>
  <c r="N6" i="2"/>
  <c r="S123" i="4"/>
  <c r="U145" i="4" a="1"/>
  <c r="AC134" i="4" a="1"/>
  <c r="E17" i="2" a="1"/>
  <c r="U27" i="4" a="1"/>
  <c r="Z54" i="4" a="1"/>
  <c r="AC155" i="4" a="1"/>
  <c r="P54" i="4" a="1"/>
  <c r="N25" i="2"/>
  <c r="O109" i="4" a="1"/>
  <c r="P66" i="4" a="1"/>
  <c r="O143" i="4" a="1"/>
  <c r="AD77" i="4" a="1"/>
  <c r="H12" i="2" a="1"/>
  <c r="Q31" i="4"/>
  <c r="D20" i="2" a="1"/>
  <c r="AG96" i="4"/>
  <c r="N139" i="4" a="1"/>
  <c r="Y43" i="4" a="1"/>
  <c r="W144" i="4" a="1"/>
  <c r="N92" i="4" a="1"/>
  <c r="U90" i="4" a="1"/>
  <c r="M57" i="4" a="1"/>
  <c r="AH133" i="4"/>
  <c r="Z131" i="4" a="1"/>
  <c r="Y104" i="4" a="1"/>
  <c r="P65" i="4" a="1"/>
  <c r="Y11" i="4" a="1"/>
  <c r="X153" i="4" a="1"/>
  <c r="AF86" i="4" a="1"/>
  <c r="O82" i="4" a="1"/>
  <c r="AG27" i="4"/>
  <c r="M82" i="4" a="1"/>
  <c r="U86" i="4" a="1"/>
  <c r="N17" i="4" a="1"/>
  <c r="P58" i="4" a="1"/>
  <c r="AH121" i="4"/>
  <c r="AF21" i="4" a="1"/>
  <c r="Y100" i="4" a="1"/>
  <c r="AG17" i="4"/>
  <c r="S127" i="4"/>
  <c r="S138" i="4"/>
  <c r="M68" i="4" a="1"/>
  <c r="M135" i="4" a="1"/>
  <c r="AH130" i="4"/>
  <c r="T66" i="4" a="1"/>
  <c r="O66" i="4" a="1"/>
  <c r="AA102" i="4" a="1"/>
  <c r="AH15" i="4"/>
  <c r="U153" i="4" a="1"/>
  <c r="AG83" i="4"/>
  <c r="AG69" i="4"/>
  <c r="AG118" i="4"/>
  <c r="V53" i="4" a="1"/>
  <c r="T65" i="4" a="1"/>
  <c r="AB31" i="4" a="1"/>
  <c r="U128" i="4" a="1"/>
  <c r="AA88" i="4" a="1"/>
  <c r="N27" i="4" a="1"/>
  <c r="S59" i="4"/>
  <c r="V70" i="4" a="1"/>
  <c r="X150" i="4" a="1"/>
  <c r="X95" i="4" a="1"/>
  <c r="AA125" i="4" a="1"/>
  <c r="V18" i="4" a="1"/>
  <c r="AC117" i="4" a="1"/>
  <c r="AA132" i="4" a="1"/>
  <c r="E23" i="2" a="1"/>
  <c r="V116" i="4" a="1"/>
  <c r="T64" i="4" a="1"/>
  <c r="Z10" i="4" a="1"/>
  <c r="X107" i="4" a="1"/>
  <c r="N13" i="2"/>
  <c r="Q133" i="4"/>
  <c r="Z30" i="4" a="1"/>
  <c r="M110" i="4" a="1"/>
  <c r="T130" i="4" a="1"/>
  <c r="P89" i="4" a="1"/>
  <c r="AB88" i="4" a="1"/>
  <c r="P81" i="4" a="1"/>
  <c r="AG86" i="4"/>
  <c r="N91" i="4" a="1"/>
  <c r="Q120" i="4"/>
  <c r="V151" i="4" a="1"/>
  <c r="P143" i="4" a="1"/>
  <c r="M142" i="4" a="1"/>
  <c r="X134" i="4" a="1"/>
  <c r="AA134" i="4" a="1"/>
  <c r="Z121" i="4" a="1"/>
  <c r="F19" i="2" a="1"/>
  <c r="AD83" i="4" a="1"/>
  <c r="AG33" i="4"/>
  <c r="AE92" i="4" a="1"/>
  <c r="M53" i="4" a="1"/>
  <c r="O152" i="4" a="1"/>
  <c r="Q12" i="4"/>
  <c r="AG11" i="4"/>
  <c r="U134" i="4" a="1"/>
  <c r="AC123" i="4" a="1"/>
  <c r="AG37" i="4"/>
  <c r="S80" i="4"/>
  <c r="AA114" i="4" a="1"/>
  <c r="P92" i="4" a="1"/>
  <c r="L9" i="2" a="1"/>
  <c r="U36" i="4" a="1"/>
  <c r="AH95" i="4"/>
  <c r="X111" i="4" a="1"/>
  <c r="Q34" i="4"/>
  <c r="O46" i="4" a="1"/>
  <c r="U58" i="4" a="1"/>
  <c r="AF55" i="4" a="1"/>
  <c r="N12" i="4" a="1"/>
  <c r="X94" i="4" a="1"/>
  <c r="AB59" i="4" a="1"/>
  <c r="P139" i="4" a="1"/>
  <c r="AH100" i="4"/>
  <c r="AH98" i="4"/>
  <c r="AE25" i="4" a="1"/>
  <c r="AG138" i="4"/>
  <c r="T116" i="4" a="1"/>
  <c r="U30" i="4" a="1"/>
  <c r="Z148" i="4" a="1"/>
  <c r="S51" i="4"/>
  <c r="S89" i="4"/>
  <c r="AA108" i="4" a="1"/>
  <c r="S12" i="4"/>
  <c r="Z79" i="4" a="1"/>
  <c r="J8" i="2" a="1"/>
  <c r="AB131" i="4" a="1"/>
  <c r="O13" i="4" a="1"/>
  <c r="AC13" i="4" a="1"/>
  <c r="U33" i="4" a="1"/>
  <c r="O9" i="4" a="1"/>
  <c r="X159" i="4" a="1"/>
  <c r="AB120" i="4" a="1"/>
  <c r="V21" i="4" a="1"/>
  <c r="AA96" i="4" a="1"/>
  <c r="AG102" i="4"/>
  <c r="AA37" i="4" a="1"/>
  <c r="W148" i="4" a="1"/>
  <c r="AB135" i="4" a="1"/>
  <c r="Q92" i="4"/>
  <c r="V156" i="4" a="1"/>
  <c r="AB145" i="4" a="1"/>
  <c r="U61" i="4" a="1"/>
  <c r="W65" i="4" a="1"/>
  <c r="AB94" i="4" a="1"/>
  <c r="AH45" i="4"/>
  <c r="S41" i="4"/>
  <c r="Y87" i="4" a="1"/>
  <c r="AE134" i="4" a="1"/>
  <c r="Q18" i="4"/>
  <c r="W7" i="4" a="1"/>
  <c r="M38" i="4" a="1"/>
  <c r="Y91" i="4" a="1"/>
  <c r="AB159" i="4" a="1"/>
  <c r="Z16" i="4" a="1"/>
  <c r="AC153" i="4" a="1"/>
  <c r="AA79" i="4" a="1"/>
  <c r="M12" i="2" a="1"/>
  <c r="AE133" i="4" a="1"/>
  <c r="T40" i="4" a="1"/>
  <c r="V41" i="4" a="1"/>
  <c r="AE103" i="4" a="1"/>
  <c r="Z139" i="4" a="1"/>
  <c r="Q39" i="4"/>
  <c r="Q19" i="4"/>
  <c r="AE87" i="4" a="1"/>
  <c r="AF98" i="4" a="1"/>
  <c r="K21" i="2" a="1"/>
  <c r="Z93" i="4" a="1"/>
  <c r="N48" i="4" a="1"/>
  <c r="AA72" i="4" a="1"/>
  <c r="I13" i="2" a="1"/>
  <c r="X82" i="4" a="1"/>
  <c r="T9" i="4" a="1"/>
  <c r="AF74" i="4" a="1"/>
  <c r="Y109" i="4" a="1"/>
  <c r="AH127" i="4"/>
  <c r="AC75" i="4" a="1"/>
  <c r="AA120" i="4" a="1"/>
  <c r="AE39" i="4" a="1"/>
  <c r="V16" i="4" a="1"/>
  <c r="T56" i="4" a="1"/>
  <c r="V148" i="4" a="1"/>
  <c r="AA33" i="4" a="1"/>
  <c r="V139" i="4" a="1"/>
  <c r="S84" i="4"/>
  <c r="AH114" i="4"/>
  <c r="AD138" i="4" a="1"/>
  <c r="T109" i="4" a="1"/>
  <c r="P113" i="4" a="1"/>
  <c r="O24" i="4" a="1"/>
  <c r="AG60" i="4"/>
  <c r="Y16" i="4" a="1"/>
  <c r="AH39" i="4"/>
  <c r="AC100" i="4" a="1"/>
  <c r="N17" i="2"/>
  <c r="AC67" i="4" a="1"/>
  <c r="Z99" i="4" a="1"/>
  <c r="AG26" i="4"/>
  <c r="AG58" i="4"/>
  <c r="S34" i="4"/>
  <c r="U92" i="4" a="1"/>
  <c r="Z65" i="4" a="1"/>
  <c r="AH74" i="4"/>
  <c r="Z155" i="4" a="1"/>
  <c r="O75" i="4" a="1"/>
  <c r="N96" i="4" a="1"/>
  <c r="AH56" i="4"/>
  <c r="S26" i="4"/>
  <c r="AC68" i="4" a="1"/>
  <c r="M88" i="4" a="1"/>
  <c r="Z43" i="4" a="1"/>
  <c r="P121" i="4" a="1"/>
  <c r="W39" i="4" a="1"/>
  <c r="AB52" i="4" a="1"/>
  <c r="AC151" i="4" a="1"/>
  <c r="AG139" i="4"/>
  <c r="AG56" i="4"/>
  <c r="AG52" i="4"/>
  <c r="L12" i="2" a="1"/>
  <c r="X28" i="4" a="1"/>
  <c r="X31" i="4" a="1"/>
  <c r="W150" i="4" a="1"/>
  <c r="V57" i="4" a="1"/>
  <c r="Q36" i="4"/>
  <c r="I5" i="2" a="1"/>
  <c r="Q72" i="4"/>
  <c r="AE42" i="4" a="1"/>
  <c r="Q145" i="4"/>
  <c r="I25" i="2" a="1"/>
  <c r="M13" i="2" a="1"/>
  <c r="AB127" i="4" a="1"/>
  <c r="Q40" i="4"/>
  <c r="U11" i="4" a="1"/>
  <c r="M39" i="4" a="1"/>
  <c r="V69" i="4" a="1"/>
  <c r="T124" i="4" a="1"/>
  <c r="U48" i="4" a="1"/>
  <c r="T22" i="4" a="1"/>
  <c r="AC46" i="4" a="1"/>
  <c r="W91" i="4" a="1"/>
  <c r="M70" i="4" a="1"/>
  <c r="W104" i="4" a="1"/>
  <c r="Z111" i="4" a="1"/>
  <c r="AA97" i="4" a="1"/>
  <c r="P138" i="4" a="1"/>
  <c r="T83" i="4" a="1"/>
  <c r="AH77" i="4"/>
  <c r="AD13" i="4" a="1"/>
  <c r="AE74" i="4" a="1"/>
  <c r="AD61" i="4" a="1"/>
  <c r="AA142" i="4" a="1"/>
  <c r="P83" i="4" a="1"/>
  <c r="Y115" i="4" a="1"/>
  <c r="V90" i="4" a="1"/>
  <c r="M34" i="4" a="1"/>
  <c r="V84" i="4" a="1"/>
  <c r="T128" i="4" a="1"/>
  <c r="Y72" i="4" a="1"/>
  <c r="P9" i="4" a="1"/>
  <c r="X118" i="4" a="1"/>
  <c r="J25" i="2" a="1"/>
  <c r="AH105" i="4"/>
  <c r="AD131" i="4" a="1"/>
  <c r="AA46" i="4" a="1"/>
  <c r="M157" i="4" a="1"/>
  <c r="AB29" i="4" a="1"/>
  <c r="AD112" i="4" a="1"/>
  <c r="M9" i="2" a="1"/>
  <c r="Y32" i="4" a="1"/>
  <c r="W49" i="4" a="1"/>
  <c r="U124" i="4" a="1"/>
  <c r="U150" i="4" a="1"/>
  <c r="W146" i="4" a="1"/>
  <c r="U98" i="4" a="1"/>
  <c r="AG121" i="4"/>
  <c r="AG142" i="4"/>
  <c r="X65" i="4" a="1"/>
  <c r="N24" i="2"/>
  <c r="S126" i="4"/>
  <c r="AF109" i="4" a="1"/>
  <c r="Z11" i="4" a="1"/>
  <c r="AB74" i="4" a="1"/>
  <c r="AH9" i="4"/>
  <c r="U115" i="4" a="1"/>
  <c r="M108" i="4" a="1"/>
  <c r="X20" i="4" a="1"/>
  <c r="M45" i="4" a="1"/>
  <c r="AH11" i="4"/>
  <c r="AG134" i="4"/>
  <c r="T59" i="4" a="1"/>
  <c r="Q50" i="4"/>
  <c r="AC115" i="4" a="1"/>
  <c r="Y108" i="4" a="1"/>
  <c r="AG82" i="4"/>
  <c r="P103" i="4" a="1"/>
  <c r="M60" i="4" a="1"/>
  <c r="AG104" i="4"/>
  <c r="AG34" i="4"/>
  <c r="W140" i="4" a="1"/>
  <c r="AF54" i="4" a="1"/>
  <c r="AF10" i="4" a="1"/>
  <c r="AB138" i="4" a="1"/>
  <c r="AE85" i="4" a="1"/>
  <c r="AD140" i="4" a="1"/>
  <c r="N159" i="4" a="1"/>
  <c r="Q13" i="4"/>
  <c r="C11" i="2" a="1"/>
  <c r="AA144" i="4" a="1"/>
  <c r="I3" i="2" a="1"/>
  <c r="J10" i="2" a="1"/>
  <c r="V107" i="4" a="1"/>
  <c r="T92" i="4" a="1"/>
  <c r="V79" i="4" a="1"/>
  <c r="M40" i="4" a="1"/>
  <c r="N21" i="4" a="1"/>
  <c r="AB117" i="4" a="1"/>
  <c r="AD124" i="4" a="1"/>
  <c r="U93" i="4" a="1"/>
  <c r="AA107" i="4" a="1"/>
  <c r="Y48" i="4" a="1"/>
  <c r="Y57" i="4" a="1"/>
  <c r="O7" i="4" a="1"/>
  <c r="M42" i="4" a="1"/>
  <c r="X30" i="4" a="1"/>
  <c r="V155" i="4" a="1"/>
  <c r="AF70" i="4" a="1"/>
  <c r="K13" i="2" a="1"/>
  <c r="N144" i="4" a="1"/>
  <c r="Y110" i="4" a="1"/>
  <c r="Q126" i="4"/>
  <c r="AF122" i="4" a="1"/>
  <c r="W89" i="4" a="1"/>
  <c r="Z128" i="4" a="1"/>
  <c r="AD106" i="4" a="1"/>
  <c r="AC76" i="4" a="1"/>
  <c r="P151" i="4" a="1"/>
  <c r="AA101" i="4" a="1"/>
  <c r="U111" i="4" a="1"/>
  <c r="AC38" i="4" a="1"/>
  <c r="AE34" i="4" a="1"/>
  <c r="AE102" i="4" a="1"/>
  <c r="W18" i="4" a="1"/>
  <c r="P93" i="4" a="1"/>
  <c r="AE51" i="4" a="1"/>
  <c r="Z27" i="4" a="1"/>
  <c r="W113" i="4" a="1"/>
  <c r="S106" i="4"/>
  <c r="AC133" i="4" a="1"/>
  <c r="AF23" i="4" a="1"/>
  <c r="AH86" i="4"/>
  <c r="AG43" i="4"/>
  <c r="AD108" i="4" a="1"/>
  <c r="AF50" i="4" a="1"/>
  <c r="T24" i="4" a="1"/>
  <c r="X109" i="4" a="1"/>
  <c r="N117" i="4" a="1"/>
  <c r="O105" i="4" a="1"/>
  <c r="X141" i="4" a="1"/>
  <c r="Q88" i="4"/>
  <c r="M133" i="4" a="1"/>
  <c r="Q65" i="4"/>
  <c r="AB51" i="4" a="1"/>
  <c r="AD63" i="4" a="1"/>
  <c r="AG32" i="4"/>
  <c r="AB85" i="4" a="1"/>
  <c r="V137" i="4" a="1"/>
  <c r="N118" i="4" a="1"/>
  <c r="U35" i="4" a="1"/>
  <c r="N11" i="4" a="1"/>
  <c r="AD87" i="4" a="1"/>
  <c r="L6" i="2" a="1"/>
  <c r="AB118" i="4" a="1"/>
  <c r="AD79" i="4" a="1"/>
  <c r="Z147" i="4" a="1"/>
  <c r="AF72" i="4" a="1"/>
  <c r="E6" i="2" a="1"/>
  <c r="N57" i="4" a="1"/>
  <c r="AD137" i="4" a="1"/>
  <c r="Q15" i="4"/>
  <c r="AA157" i="4" a="1"/>
  <c r="T45" i="4" a="1"/>
  <c r="AF28" i="4" a="1"/>
  <c r="V159" i="4" a="1"/>
  <c r="M35" i="4" a="1"/>
  <c r="W25" i="4" a="1"/>
  <c r="M107" i="4" a="1"/>
  <c r="W158" i="4" a="1"/>
  <c r="U52" i="4" a="1"/>
  <c r="U47" i="4" a="1"/>
  <c r="AC78" i="4" a="1"/>
  <c r="AC56" i="4" a="1"/>
  <c r="Y144" i="4" a="1"/>
  <c r="T155" i="4" a="1"/>
  <c r="X157" i="4" a="1"/>
  <c r="X72" i="4" a="1"/>
  <c r="Q94" i="4"/>
  <c r="Z115" i="4" a="1"/>
  <c r="T74" i="4" a="1"/>
  <c r="T82" i="4" a="1"/>
  <c r="V19" i="4" a="1"/>
  <c r="N74" i="4" a="1"/>
  <c r="AD44" i="4" a="1"/>
  <c r="O32" i="4" a="1"/>
  <c r="N98" i="4" a="1"/>
  <c r="AG40" i="4"/>
  <c r="AC19" i="4" a="1"/>
  <c r="P31" i="4" a="1"/>
  <c r="V12" i="4" a="1"/>
  <c r="E11" i="2" a="1"/>
  <c r="AH90" i="4"/>
  <c r="O70" i="4" a="1"/>
  <c r="Y51" i="4" a="1"/>
  <c r="AD52" i="4" a="1"/>
  <c r="Y86" i="4" a="1"/>
  <c r="Y93" i="4" a="1"/>
  <c r="P62" i="4" a="1"/>
  <c r="AH20" i="4"/>
  <c r="AF25" i="4" a="1"/>
  <c r="M130" i="4" a="1"/>
  <c r="V10" i="4" a="1"/>
  <c r="M151" i="4" a="1"/>
  <c r="Q32" i="4"/>
  <c r="AH119" i="4"/>
  <c r="AF129" i="4" a="1"/>
  <c r="AA104" i="4" a="1"/>
  <c r="AG133" i="4"/>
  <c r="Y150" i="4" a="1"/>
  <c r="N32" i="4" a="1"/>
  <c r="AC136" i="4" a="1"/>
  <c r="AA66" i="4" a="1"/>
  <c r="AF65" i="4" a="1"/>
  <c r="U17" i="4" a="1"/>
  <c r="AF128" i="4" a="1"/>
  <c r="W118" i="4" a="1"/>
  <c r="V50" i="4" a="1"/>
  <c r="W120" i="4" a="1"/>
  <c r="AE59" i="4" a="1"/>
  <c r="AB23" i="4" a="1"/>
  <c r="AF135" i="4" a="1"/>
  <c r="S114" i="4"/>
  <c r="O90" i="4" a="1"/>
  <c r="X43" i="4" a="1"/>
  <c r="X144" i="4" a="1"/>
  <c r="AC88" i="4" a="1"/>
  <c r="J22" i="2" a="1"/>
  <c r="V153" i="4" a="1"/>
  <c r="O21" i="4" a="1"/>
  <c r="S22" i="4"/>
  <c r="T38" i="4" a="1"/>
  <c r="W90" i="4" a="1"/>
  <c r="V40" i="4" a="1"/>
  <c r="W17" i="4" a="1"/>
  <c r="Q77" i="4"/>
  <c r="N86" i="4" a="1"/>
  <c r="O99" i="4" a="1"/>
  <c r="X54" i="4" a="1"/>
  <c r="X14" i="4" a="1"/>
  <c r="Z127" i="4" a="1"/>
  <c r="AF101" i="4" a="1"/>
  <c r="Z86" i="4" a="1"/>
  <c r="Q10" i="4"/>
  <c r="AC101" i="4" a="1"/>
  <c r="AF87" i="4" a="1"/>
  <c r="T21" i="4" a="1"/>
  <c r="S151" i="4"/>
  <c r="AG76" i="4"/>
  <c r="V39" i="4" a="1"/>
  <c r="AA39" i="4" a="1"/>
  <c r="AD136" i="4" a="1"/>
  <c r="T53" i="4" a="1"/>
  <c r="M69" i="4" a="1"/>
  <c r="AH150" i="4"/>
  <c r="AG152" i="4"/>
  <c r="P119" i="4" a="1"/>
  <c r="M22" i="2" a="1"/>
  <c r="Q38" i="4"/>
  <c r="M119" i="4" a="1"/>
  <c r="AD19" i="4" a="1"/>
  <c r="AG116" i="4"/>
  <c r="W156" i="4" a="1"/>
  <c r="P39" i="4" a="1"/>
  <c r="F16" i="2" a="1"/>
  <c r="Y112" i="4" a="1"/>
  <c r="W12" i="4" a="1"/>
  <c r="U83" i="4" a="1"/>
  <c r="Z77" i="4" a="1"/>
  <c r="AH146" i="4"/>
  <c r="U120" i="4" a="1"/>
  <c r="S39" i="4"/>
  <c r="AH158" i="4"/>
  <c r="V123" i="4" a="1"/>
  <c r="M141" i="4" a="1"/>
  <c r="AF51" i="4" a="1"/>
  <c r="K15" i="2" a="1"/>
  <c r="X39" i="4" a="1"/>
  <c r="O61" i="4" a="1"/>
  <c r="T135" i="4" a="1"/>
  <c r="AD126" i="4" a="1"/>
  <c r="AA45" i="4" a="1"/>
  <c r="W62" i="4" a="1"/>
  <c r="N13" i="4" a="1"/>
  <c r="J15" i="2" a="1"/>
  <c r="W78" i="4" a="1"/>
  <c r="AD155" i="4" a="1"/>
  <c r="AG75" i="4"/>
  <c r="C10" i="2" a="1"/>
  <c r="X37" i="4" a="1"/>
  <c r="AB49" i="4" a="1"/>
  <c r="O68" i="4" a="1"/>
  <c r="Y74" i="4" a="1"/>
  <c r="O22" i="4" a="1"/>
  <c r="AE77" i="4" a="1"/>
  <c r="AE99" i="4" a="1"/>
  <c r="P8" i="4" a="1"/>
  <c r="P153" i="4" a="1"/>
  <c r="X147" i="4" a="1"/>
  <c r="X13" i="4" a="1"/>
  <c r="AD75" i="4" a="1"/>
  <c r="L10" i="2" a="1"/>
  <c r="X29" i="4" a="1"/>
  <c r="AB152" i="4" a="1"/>
  <c r="T85" i="4" a="1"/>
  <c r="V92" i="4" a="1"/>
  <c r="Q61" i="4"/>
  <c r="AD33" i="4" a="1"/>
  <c r="Z144" i="4" a="1"/>
  <c r="G4" i="2" a="1"/>
  <c r="AB124" i="4" a="1"/>
  <c r="AG50" i="4"/>
  <c r="P72" i="4" a="1"/>
  <c r="G8" i="2" a="1"/>
  <c r="Y37" i="4" a="1"/>
  <c r="U137" i="4" a="1"/>
  <c r="AE44" i="4" a="1"/>
  <c r="S141" i="4"/>
  <c r="AE62" i="4" a="1"/>
  <c r="AE145" i="4" a="1"/>
  <c r="O91" i="4" a="1"/>
  <c r="AC57" i="4" a="1"/>
  <c r="AE37" i="4" a="1"/>
  <c r="AH85" i="4"/>
  <c r="S48" i="4"/>
  <c r="AG111" i="4"/>
  <c r="AA143" i="4" a="1"/>
  <c r="M73" i="4" a="1"/>
  <c r="O108" i="4" a="1"/>
  <c r="AB30" i="4" a="1"/>
  <c r="AA129" i="4" a="1"/>
  <c r="AA135" i="4" a="1"/>
  <c r="AB70" i="4" a="1"/>
  <c r="P17" i="4" a="1"/>
  <c r="Z44" i="4" a="1"/>
  <c r="N124" i="4" a="1"/>
  <c r="T39" i="4" a="1"/>
  <c r="T115" i="4" a="1"/>
  <c r="Y30" i="4" a="1"/>
  <c r="Z108" i="4" a="1"/>
  <c r="D9" i="2" a="1"/>
  <c r="W130" i="4" a="1"/>
  <c r="H21" i="2" a="1"/>
  <c r="F10" i="2" a="1"/>
  <c r="AE84" i="4" a="1"/>
  <c r="AF66" i="4" a="1"/>
  <c r="AA121" i="4" a="1"/>
  <c r="W141" i="4" a="1"/>
  <c r="P78" i="4" a="1"/>
  <c r="AC128" i="4" a="1"/>
  <c r="AA21" i="4" a="1"/>
  <c r="AF127" i="4" a="1"/>
  <c r="AD28" i="4" a="1"/>
  <c r="AH71" i="4"/>
  <c r="AC77" i="4" a="1"/>
  <c r="M58" i="4" a="1"/>
  <c r="O158" i="4" a="1"/>
  <c r="W13" i="4" a="1"/>
  <c r="AE104" i="4" a="1"/>
  <c r="AA82" i="4" a="1"/>
  <c r="T134" i="4" a="1"/>
  <c r="P123" i="4" a="1"/>
  <c r="T142" i="4" a="1"/>
  <c r="S110" i="4"/>
  <c r="N40" i="4" a="1"/>
  <c r="AB14" i="4" a="1"/>
  <c r="AG74" i="4"/>
  <c r="J16" i="2" a="1"/>
  <c r="AC50" i="4" a="1"/>
  <c r="AC81" i="4" a="1"/>
  <c r="AA14" i="4" a="1"/>
  <c r="Z153" i="4" a="1"/>
  <c r="AF42" i="4" a="1"/>
  <c r="M87" i="4" a="1"/>
  <c r="AE150" i="4" a="1"/>
  <c r="AC140" i="4" a="1"/>
  <c r="W82" i="4" a="1"/>
  <c r="V109" i="4" a="1"/>
  <c r="Q156" i="4"/>
  <c r="Q69" i="4"/>
  <c r="AF20" i="4" a="1"/>
  <c r="AB119" i="4" a="1"/>
  <c r="V130" i="4" a="1"/>
  <c r="AB9" i="4" a="1"/>
  <c r="AF80" i="4" a="1"/>
  <c r="Z123" i="4" a="1"/>
  <c r="AB38" i="4" a="1"/>
  <c r="U56" i="4" a="1"/>
  <c r="Y99" i="4" a="1"/>
  <c r="AB73" i="4" a="1"/>
  <c r="AB7" i="4" a="1"/>
  <c r="U121" i="4" a="1"/>
  <c r="G5" i="2" a="1"/>
  <c r="AD144" i="4" a="1"/>
  <c r="S36" i="4"/>
  <c r="Y20" i="4" a="1"/>
  <c r="S98" i="4"/>
  <c r="T77" i="4" a="1"/>
  <c r="AC22" i="4" a="1"/>
  <c r="AB141" i="4" a="1"/>
  <c r="AD46" i="4" a="1"/>
  <c r="U125" i="4" a="1"/>
  <c r="L3" i="2" a="1"/>
  <c r="AA12" i="4" a="1"/>
  <c r="Z19" i="4" a="1"/>
  <c r="M146" i="4" a="1"/>
  <c r="M9" i="4" a="1"/>
  <c r="W16" i="4" a="1"/>
  <c r="AH81" i="4"/>
  <c r="H23" i="2" a="1"/>
  <c r="AA123" i="4" a="1"/>
  <c r="T147" i="4" a="1"/>
  <c r="AA59" i="4" a="1"/>
  <c r="AG114" i="4"/>
  <c r="AB106" i="4" a="1"/>
  <c r="Q150" i="4"/>
  <c r="AC59" i="4" a="1"/>
  <c r="AC30" i="4" a="1"/>
  <c r="AD64" i="4" a="1"/>
  <c r="H5" i="2" a="1"/>
  <c r="AA116" i="4" a="1"/>
  <c r="AC105" i="4" a="1"/>
  <c r="T125" i="4" a="1"/>
  <c r="AB45" i="4" a="1"/>
  <c r="F7" i="2" a="1"/>
  <c r="AD157" i="4" a="1"/>
  <c r="AF113" i="4" a="1"/>
  <c r="V45" i="4" a="1"/>
  <c r="O122" i="4" a="1"/>
  <c r="U72" i="4" a="1"/>
  <c r="Z31" i="4" a="1"/>
  <c r="AA78" i="4" a="1"/>
  <c r="Y41" i="4" a="1"/>
  <c r="AH10" i="4"/>
  <c r="W33" i="4" a="1"/>
  <c r="S118" i="4"/>
  <c r="O39" i="4" a="1"/>
  <c r="Y73" i="4" a="1"/>
  <c r="P77" i="4" a="1"/>
  <c r="AG24" i="4"/>
  <c r="AE63" i="4" a="1"/>
  <c r="AD88" i="4" a="1"/>
  <c r="S38" i="4"/>
  <c r="T70" i="4" a="1"/>
  <c r="O28" i="4" a="1"/>
  <c r="AA158" i="4" a="1"/>
  <c r="W70" i="4" a="1"/>
  <c r="AF68" i="4" a="1"/>
  <c r="Y69" i="4" a="1"/>
  <c r="Z40" i="4" a="1"/>
  <c r="AB82" i="4" a="1"/>
  <c r="AH109" i="4"/>
  <c r="Y81" i="4" a="1"/>
  <c r="AE119" i="4" a="1"/>
  <c r="Z33" i="4" a="1"/>
  <c r="P41" i="4" a="1"/>
  <c r="M12" i="4" a="1"/>
  <c r="AC11" i="4" a="1"/>
  <c r="AF120" i="4" a="1"/>
  <c r="T97" i="4" a="1"/>
  <c r="AC119" i="4" a="1"/>
  <c r="AE73" i="4" a="1"/>
  <c r="P134" i="4" a="1"/>
  <c r="N90" i="4" a="1"/>
  <c r="Z62" i="4" a="1"/>
  <c r="AC157" i="4" a="1"/>
  <c r="E8" i="2" a="1"/>
  <c r="N12" i="2"/>
  <c r="AH101" i="4"/>
  <c r="O121" i="4" a="1"/>
  <c r="Y60" i="4" a="1"/>
  <c r="AA65" i="4" a="1"/>
  <c r="V67" i="4" a="1"/>
  <c r="AF117" i="4" a="1"/>
  <c r="T121" i="4" a="1"/>
  <c r="AF59" i="4" a="1"/>
  <c r="N16" i="2"/>
  <c r="O106" i="4" a="1"/>
  <c r="M72" i="4" a="1"/>
  <c r="AA64" i="4" a="1"/>
  <c r="W80" i="4" a="1"/>
  <c r="AB46" i="4" a="1"/>
  <c r="Q117" i="4"/>
  <c r="M137" i="4" a="1"/>
  <c r="AF12" i="4" a="1"/>
  <c r="AC48" i="4" a="1"/>
  <c r="M113" i="4" a="1"/>
  <c r="N15" i="4" a="1"/>
  <c r="AD129" i="4" a="1"/>
  <c r="W54" i="4" a="1"/>
  <c r="J3" i="2" a="1"/>
  <c r="S129" i="4"/>
  <c r="AF108" i="4" a="1"/>
  <c r="M19" i="4" a="1"/>
  <c r="M91" i="4" a="1"/>
  <c r="AA51" i="4" a="1"/>
  <c r="V22" i="4" a="1"/>
  <c r="G21" i="2" a="1"/>
  <c r="W51" i="4" a="1"/>
  <c r="V93" i="4" a="1"/>
  <c r="W20" i="4" a="1"/>
  <c r="W128" i="4" a="1"/>
  <c r="AG117" i="4"/>
  <c r="N77" i="4" a="1"/>
  <c r="AC124" i="4" a="1"/>
  <c r="AB92" i="4" a="1"/>
  <c r="I24" i="2" a="1"/>
  <c r="U63" i="4" a="1"/>
  <c r="U154" i="4" a="1"/>
  <c r="Q116" i="4"/>
  <c r="AD16" i="4" a="1"/>
  <c r="V31" i="4" a="1"/>
  <c r="M14" i="4" a="1"/>
  <c r="O156" i="4" a="1"/>
  <c r="V145" i="4" a="1"/>
  <c r="AE136" i="4" a="1"/>
  <c r="N47" i="4" a="1"/>
  <c r="Z49" i="4" a="1"/>
  <c r="U20" i="4" a="1"/>
  <c r="AA154" i="4" a="1"/>
  <c r="U140" i="4" a="1"/>
  <c r="X42" i="4" a="1"/>
  <c r="AE144" i="4" a="1"/>
  <c r="V128" i="4" a="1"/>
  <c r="T26" i="4" a="1"/>
  <c r="AE120" i="4" a="1"/>
  <c r="AE149" i="4" a="1"/>
  <c r="AH111" i="4"/>
  <c r="Q111" i="4"/>
  <c r="AB17" i="4" a="1"/>
  <c r="AF13" i="4" a="1"/>
  <c r="K4" i="2" a="1"/>
  <c r="S50" i="4"/>
  <c r="O150" i="4" a="1"/>
  <c r="U16" i="4" a="1"/>
  <c r="O50" i="4" a="1"/>
  <c r="Z126" i="4" a="1"/>
  <c r="AA150" i="4" a="1"/>
  <c r="W125" i="4" a="1"/>
  <c r="V20" i="4" a="1"/>
  <c r="X78" i="4" a="1"/>
  <c r="W124" i="4" a="1"/>
  <c r="AF107" i="4" a="1"/>
  <c r="M24" i="2" a="1"/>
  <c r="AH40" i="4"/>
  <c r="AF119" i="4" a="1"/>
  <c r="Y44" i="4" a="1"/>
  <c r="Q81" i="4"/>
  <c r="T112" i="4" a="1"/>
  <c r="V75" i="4" a="1"/>
  <c r="AD86" i="4" a="1"/>
  <c r="AE30" i="4" a="1"/>
  <c r="V30" i="4" a="1"/>
  <c r="AD148" i="4" a="1"/>
  <c r="X97" i="4" a="1"/>
  <c r="X12" i="4" a="1"/>
  <c r="AC37" i="4" a="1"/>
  <c r="M47" i="4" a="1"/>
  <c r="T60" i="4" a="1"/>
  <c r="W50" i="4" a="1"/>
  <c r="AC79" i="4" a="1"/>
  <c r="S63" i="4"/>
  <c r="AB136" i="4" a="1"/>
  <c r="X60" i="4" a="1"/>
  <c r="Y54" i="4" a="1"/>
  <c r="M152" i="4" a="1"/>
  <c r="AF19" i="4" a="1"/>
  <c r="AG7" i="4"/>
  <c r="N10" i="4" a="1"/>
  <c r="C24" i="2" a="1"/>
  <c r="W9" i="4" a="1"/>
  <c r="T67" i="4" a="1"/>
  <c r="X148" i="4" a="1"/>
  <c r="U39" i="4" a="1"/>
  <c r="AC64" i="4" a="1"/>
  <c r="N151" i="4" a="1"/>
  <c r="V63" i="4" a="1"/>
  <c r="AA38" i="4" a="1"/>
  <c r="U133" i="4" a="1"/>
  <c r="O27" i="4" a="1"/>
  <c r="AA75" i="4" a="1"/>
  <c r="AD60" i="4" a="1"/>
  <c r="U45" i="4" a="1"/>
  <c r="W58" i="4" a="1"/>
  <c r="N115" i="4" a="1"/>
  <c r="S145" i="4"/>
  <c r="M63" i="4" a="1"/>
  <c r="AA94" i="4" a="1"/>
  <c r="AD135" i="4" a="1"/>
  <c r="Q155" i="4"/>
  <c r="S71" i="4"/>
  <c r="S52" i="4"/>
  <c r="X17" i="4" a="1"/>
  <c r="AD127" i="4" a="1"/>
  <c r="O76" i="4" a="1"/>
  <c r="AC35" i="4" a="1"/>
  <c r="AH7" i="4"/>
  <c r="O153" i="4" a="1"/>
  <c r="N145" i="4" a="1"/>
  <c r="V66" i="4" a="1"/>
  <c r="S64" i="4"/>
  <c r="P129" i="4" a="1"/>
  <c r="AA40" i="4" a="1"/>
  <c r="X70" i="4" a="1"/>
  <c r="S76" i="4"/>
  <c r="U103" i="4" a="1"/>
  <c r="AE155" i="4" a="1"/>
  <c r="U22" i="4" a="1"/>
  <c r="X9" i="4" a="1"/>
  <c r="V35" i="4" a="1"/>
  <c r="Z21" i="4" a="1"/>
  <c r="O33" i="4" a="1"/>
  <c r="AG87" i="4"/>
  <c r="AB12" i="4" a="1"/>
  <c r="S49" i="4"/>
  <c r="M20" i="2" a="1"/>
  <c r="S97" i="4"/>
  <c r="AE97" i="4" a="1"/>
  <c r="S14" i="4"/>
  <c r="U54" i="4" a="1"/>
  <c r="AC145" i="4" a="1"/>
  <c r="AE60" i="4" a="1"/>
  <c r="O103" i="4" a="1"/>
  <c r="U130" i="4" a="1"/>
  <c r="T14" i="4" a="1"/>
  <c r="O142" i="4" a="1"/>
  <c r="M28" i="4" a="1"/>
  <c r="X55" i="4" a="1"/>
  <c r="N101" i="4" a="1"/>
  <c r="AF9" i="4" a="1"/>
  <c r="M61" i="4" a="1"/>
  <c r="P156" i="4" a="1"/>
  <c r="O115" i="4" a="1"/>
  <c r="Y119" i="4" a="1"/>
  <c r="AD40" i="4" a="1"/>
  <c r="Q79" i="4"/>
  <c r="AG16" i="4"/>
  <c r="M154" i="4" a="1"/>
  <c r="X76" i="4" a="1"/>
  <c r="Y97" i="4" a="1"/>
  <c r="M31" i="4" a="1"/>
  <c r="AA17" i="4" a="1"/>
  <c r="F8" i="2" a="1"/>
  <c r="AA20" i="4" a="1"/>
  <c r="V8" i="4" a="1"/>
  <c r="Q103" i="4"/>
  <c r="M81" i="4" a="1"/>
  <c r="AE17" i="4" a="1"/>
  <c r="P146" i="4" a="1"/>
  <c r="Q137" i="4"/>
  <c r="Y124" i="4" a="1"/>
  <c r="T71" i="4" a="1"/>
  <c r="AE33" i="4" a="1"/>
  <c r="AC83" i="4" a="1"/>
  <c r="V43" i="4" a="1"/>
  <c r="Y107" i="4" a="1"/>
  <c r="AD96" i="4" a="1"/>
  <c r="AD59" i="4" a="1"/>
  <c r="N8" i="4" a="1"/>
  <c r="AA149" i="4" a="1"/>
  <c r="P114" i="4" a="1"/>
  <c r="Z52" i="4" a="1"/>
  <c r="AC135" i="4" a="1"/>
  <c r="AD41" i="4" a="1"/>
  <c r="T20" i="4" a="1"/>
  <c r="V71" i="4" a="1"/>
  <c r="C18" i="2" a="1"/>
  <c r="AA16" i="4" a="1"/>
  <c r="P85" i="4" a="1"/>
  <c r="F22" i="2" a="1"/>
  <c r="U158" i="4" a="1"/>
  <c r="Y129" i="4" a="1"/>
  <c r="AC72" i="4" a="1"/>
  <c r="Y78" i="4" a="1"/>
  <c r="L13" i="2" a="1"/>
  <c r="AE135" i="4" a="1"/>
  <c r="AF57" i="4" a="1"/>
  <c r="W21" i="4" a="1"/>
  <c r="AC52" i="4" a="1"/>
  <c r="AE126" i="4" a="1"/>
  <c r="X149" i="4" a="1"/>
  <c r="Z82" i="4" a="1"/>
  <c r="Z96" i="4" a="1"/>
  <c r="AC32" i="4" a="1"/>
  <c r="AE10" i="4" a="1"/>
  <c r="AB103" i="4" a="1"/>
  <c r="W155" i="4" a="1"/>
  <c r="AF8" i="4" a="1"/>
  <c r="X27" i="4" a="1"/>
  <c r="N39" i="4" a="1"/>
  <c r="Z125" i="4" a="1"/>
  <c r="T81" i="4" a="1"/>
  <c r="N9" i="4" a="1"/>
  <c r="U116" i="4" a="1"/>
  <c r="AD121" i="4" a="1"/>
  <c r="X83" i="4" a="1"/>
  <c r="W114" i="4" a="1"/>
  <c r="Z156" i="4" a="1"/>
  <c r="AE26" i="4" a="1"/>
  <c r="AF132" i="4" a="1"/>
  <c r="Q86" i="4"/>
  <c r="X15" i="4" a="1"/>
  <c r="M24" i="4" a="1"/>
  <c r="P10" i="4" a="1"/>
  <c r="V100" i="4" a="1"/>
  <c r="AF111" i="4" a="1"/>
  <c r="V83" i="4" a="1"/>
  <c r="AD98" i="4" a="1"/>
  <c r="AC44" i="4" a="1"/>
  <c r="D22" i="2" a="1"/>
  <c r="O117" i="4" a="1"/>
  <c r="Q140" i="4"/>
  <c r="Q26" i="4"/>
  <c r="AG38" i="4"/>
  <c r="V152" i="4" a="1"/>
  <c r="O74" i="4" a="1"/>
  <c r="N18" i="2"/>
  <c r="O36" i="4" a="1"/>
  <c r="AD22" i="4" a="1"/>
  <c r="V112" i="4" a="1"/>
  <c r="W121" i="4" a="1"/>
  <c r="AB27" i="4" a="1"/>
  <c r="P127" i="4" a="1"/>
  <c r="Y42" i="4" a="1"/>
  <c r="AH149" i="4"/>
  <c r="AF40" i="4" a="1"/>
  <c r="AH36" i="4"/>
  <c r="AG136" i="4"/>
  <c r="Y155" i="4" a="1"/>
  <c r="Q106" i="4"/>
  <c r="N85" i="4" a="1"/>
  <c r="V88" i="4" a="1"/>
  <c r="AE13" i="4" a="1"/>
  <c r="Q33" i="4"/>
  <c r="AA11" i="4" a="1"/>
  <c r="AE76" i="4" a="1"/>
  <c r="N80" i="4" a="1"/>
  <c r="Y21" i="4" a="1"/>
  <c r="V157" i="4" a="1"/>
  <c r="Q23" i="4"/>
  <c r="Z87" i="4" a="1"/>
  <c r="X59" i="4" a="1"/>
  <c r="P27" i="4" a="1"/>
  <c r="AC66" i="4" a="1"/>
  <c r="Z26" i="4" a="1"/>
  <c r="M129" i="4" a="1"/>
  <c r="T79" i="4" a="1"/>
  <c r="M7" i="2" a="1"/>
  <c r="AE106" i="4" a="1"/>
  <c r="T102" i="4" a="1"/>
  <c r="M7" i="4" a="1"/>
  <c r="O60" i="4" a="1"/>
  <c r="C13" i="2" a="1"/>
  <c r="AC125" i="4" a="1"/>
  <c r="S45" i="4"/>
  <c r="AD66" i="4" a="1"/>
  <c r="AF31" i="4" a="1"/>
  <c r="W48" i="4" a="1"/>
  <c r="S157" i="4"/>
  <c r="V36" i="4" a="1"/>
  <c r="C4" i="2" a="1"/>
  <c r="AB129" i="4" a="1"/>
  <c r="L14" i="2" a="1"/>
  <c r="V9" i="4" a="1"/>
  <c r="AA122" i="4" a="1"/>
  <c r="V126" i="4" a="1"/>
  <c r="N8" i="2"/>
  <c r="AH83" i="4"/>
  <c r="Q104" i="4"/>
  <c r="S124" i="4"/>
  <c r="P133" i="4" a="1"/>
  <c r="U70" i="4" a="1"/>
  <c r="P109" i="4" a="1"/>
  <c r="AC20" i="4" a="1"/>
  <c r="AE157" i="4" a="1"/>
  <c r="Y92" i="4" a="1"/>
  <c r="T76" i="4" a="1"/>
  <c r="O85" i="4" a="1"/>
  <c r="AB104" i="4" a="1"/>
  <c r="AG71" i="4"/>
  <c r="Q144" i="4"/>
  <c r="Z9" i="4" a="1"/>
  <c r="AA32" i="4" a="1"/>
  <c r="AE16" i="4" a="1"/>
  <c r="D7" i="2" a="1"/>
  <c r="P70" i="4" a="1"/>
  <c r="N120" i="4" a="1"/>
  <c r="X143" i="4" a="1"/>
  <c r="S105" i="4"/>
  <c r="N29" i="4" a="1"/>
  <c r="AF99" i="4" a="1"/>
  <c r="V99" i="4" a="1"/>
  <c r="X57" i="4" a="1"/>
  <c r="AA15" i="4" a="1"/>
  <c r="Y77" i="4" a="1"/>
  <c r="S16" i="4"/>
  <c r="W99" i="4" a="1"/>
  <c r="W81" i="4" a="1"/>
  <c r="N7" i="2"/>
  <c r="N45" i="4" a="1"/>
  <c r="T19" i="4" a="1"/>
  <c r="AA8" i="4" a="1"/>
  <c r="AD78" i="4" a="1"/>
  <c r="T103" i="4" a="1"/>
  <c r="AE82" i="4" a="1"/>
  <c r="V26" i="4" a="1"/>
  <c r="O52" i="4" a="1"/>
  <c r="Y96" i="4" a="1"/>
  <c r="O113" i="4" a="1"/>
  <c r="M66" i="4" a="1"/>
  <c r="P154" i="4" a="1"/>
  <c r="X105" i="4" a="1"/>
  <c r="S32" i="4"/>
  <c r="M23" i="2" a="1"/>
  <c r="N30" i="4" a="1"/>
  <c r="W107" i="4" a="1"/>
  <c r="I11" i="2" a="1"/>
  <c r="N121" i="4" a="1"/>
  <c r="AH46" i="4"/>
  <c r="T86" i="4" a="1"/>
  <c r="G9" i="2" a="1"/>
  <c r="AE66" i="4" a="1"/>
  <c r="AB87" i="4" a="1"/>
  <c r="V37" i="4" a="1"/>
  <c r="AD58" i="4" a="1"/>
  <c r="AG120" i="4"/>
  <c r="AD57" i="4" a="1"/>
  <c r="P33" i="4" a="1"/>
  <c r="Z8" i="4" a="1"/>
  <c r="AH116" i="4"/>
  <c r="U81" i="4" a="1"/>
  <c r="O145" i="4" a="1"/>
  <c r="AD23" i="4" a="1"/>
  <c r="C16" i="2" a="1"/>
  <c r="X63" i="4" a="1"/>
  <c r="V124" i="4" a="1"/>
  <c r="Z83" i="4" a="1"/>
  <c r="Y130" i="4" a="1"/>
  <c r="U40" i="4" a="1"/>
  <c r="AE29" i="4" a="1"/>
  <c r="V144" i="4" a="1"/>
  <c r="AH65" i="4"/>
  <c r="AA145" i="4" a="1"/>
  <c r="K9" i="2" a="1"/>
  <c r="M62" i="4" a="1"/>
  <c r="AB80" i="4" a="1"/>
  <c r="G19" i="2" a="1"/>
  <c r="Z89" i="4" a="1"/>
  <c r="AA23" i="4" a="1"/>
  <c r="AD42" i="4" a="1"/>
  <c r="O119" i="4" a="1"/>
  <c r="AC109" i="4" a="1"/>
  <c r="Y38" i="4" a="1"/>
  <c r="P88" i="4" a="1"/>
  <c r="AH124" i="4"/>
  <c r="AE49" i="4" a="1"/>
  <c r="AC25" i="4" a="1"/>
  <c r="W127" i="4" a="1"/>
  <c r="Q105" i="4"/>
  <c r="W149" i="4" a="1"/>
  <c r="V91" i="4" a="1"/>
  <c r="AE61" i="4" a="1"/>
  <c r="O94" i="4" a="1"/>
  <c r="P159" i="4" a="1"/>
  <c r="AH64" i="4"/>
  <c r="AB154" i="4" a="1"/>
  <c r="O44" i="4" a="1"/>
  <c r="AC97" i="4" a="1"/>
  <c r="AA24" i="4" a="1"/>
  <c r="W123" i="4" a="1"/>
  <c r="T50" i="4" a="1"/>
  <c r="AC26" i="4" a="1"/>
  <c r="Z80" i="4" a="1"/>
  <c r="O58" i="4" a="1"/>
  <c r="AE20" i="4" a="1"/>
  <c r="C15" i="2" a="1"/>
  <c r="P87" i="4" a="1"/>
  <c r="D18" i="2" a="1"/>
  <c r="AA18" i="4" a="1"/>
  <c r="G25" i="2" a="1"/>
  <c r="M65" i="4" a="1"/>
  <c r="AE98" i="4" a="1"/>
  <c r="C17" i="2" a="1"/>
  <c r="G15" i="2" a="1"/>
  <c r="W30" i="4" a="1"/>
  <c r="Y26" i="4" a="1"/>
  <c r="Y55" i="4" a="1"/>
  <c r="P122" i="4" a="1"/>
  <c r="W43" i="4" a="1"/>
  <c r="W95" i="4" a="1"/>
  <c r="I14" i="2" a="1"/>
  <c r="U136" i="4" a="1"/>
  <c r="AF22" i="4" a="1"/>
  <c r="M67" i="4" a="1"/>
  <c r="AH156" i="4"/>
  <c r="X84" i="4" a="1"/>
  <c r="W98" i="4" a="1"/>
  <c r="U108" i="4" a="1"/>
  <c r="Q121" i="4"/>
  <c r="AD45" i="4" a="1"/>
  <c r="K8" i="2" a="1"/>
  <c r="T111" i="4" a="1"/>
  <c r="N89" i="4" a="1"/>
  <c r="V49" i="4" a="1"/>
  <c r="AH152" i="4"/>
  <c r="Y111" i="4" a="1"/>
  <c r="U37" i="4" a="1"/>
  <c r="X130" i="4" a="1"/>
  <c r="T104" i="4" a="1"/>
  <c r="AC107" i="4" a="1"/>
  <c r="Y71" i="4" a="1"/>
  <c r="AC63" i="4" a="1"/>
  <c r="O55" i="4" a="1"/>
  <c r="AD51" i="4" a="1"/>
  <c r="L17" i="2" a="1"/>
  <c r="M71" i="4" a="1"/>
  <c r="W108" i="4" a="1"/>
  <c r="Y67" i="4" a="1"/>
  <c r="S13" i="4"/>
  <c r="O12" i="4" a="1"/>
  <c r="M111" i="4" a="1"/>
  <c r="J14" i="2" a="1"/>
  <c r="AA53" i="4" a="1"/>
  <c r="AF133" i="4" a="1"/>
  <c r="AC8" i="4" a="1"/>
  <c r="O71" i="4" a="1"/>
  <c r="Y142" i="4" a="1"/>
  <c r="AC116" i="4" a="1"/>
  <c r="Z109" i="4" a="1"/>
  <c r="AF155" i="4" a="1"/>
  <c r="AA52" i="4" a="1"/>
  <c r="N146" i="4" a="1"/>
  <c r="AD89" i="4" a="1"/>
  <c r="M50" i="4" a="1"/>
  <c r="AB44" i="4" a="1"/>
  <c r="AA67" i="4" a="1"/>
  <c r="K25" i="2" a="1"/>
  <c r="AB81" i="4" a="1"/>
  <c r="L8" i="2" a="1"/>
  <c r="T31" i="4" a="1"/>
  <c r="M17" i="2" a="1"/>
  <c r="Q58" i="4"/>
  <c r="AB13" i="4" a="1"/>
  <c r="X67" i="4" a="1"/>
  <c r="T89" i="4" a="1"/>
  <c r="Q43" i="4"/>
  <c r="F3" i="2" a="1"/>
  <c r="T144" i="4" a="1"/>
  <c r="O41" i="4" a="1"/>
  <c r="W131" i="4" a="1"/>
  <c r="AF43" i="4" a="1"/>
  <c r="AF141" i="4" a="1"/>
  <c r="S23" i="4"/>
  <c r="AH137" i="4"/>
  <c r="AD49" i="4" a="1"/>
  <c r="T25" i="4" a="1"/>
  <c r="W87" i="4" a="1"/>
  <c r="AE64" i="4" a="1"/>
  <c r="V11" i="4" a="1"/>
  <c r="C22" i="2" a="1"/>
  <c r="AE81" i="4" a="1"/>
  <c r="G18" i="2" a="1"/>
  <c r="M56" i="4" a="1"/>
  <c r="O54" i="4" a="1"/>
  <c r="AH108" i="4"/>
  <c r="X123" i="4" a="1"/>
  <c r="V141" i="4" a="1"/>
  <c r="AF100" i="4" a="1"/>
  <c r="N129" i="4" a="1"/>
  <c r="O79" i="4" a="1"/>
  <c r="V87" i="4" a="1"/>
  <c r="T113" i="4" a="1"/>
  <c r="AB33" i="4" a="1"/>
  <c r="AE12" i="4" a="1"/>
  <c r="AB79" i="4" a="1"/>
  <c r="U112" i="4" a="1"/>
  <c r="V51" i="4" a="1"/>
  <c r="J11" i="2" a="1"/>
  <c r="AF90" i="4" a="1"/>
  <c r="S144" i="4"/>
  <c r="AH148" i="4"/>
  <c r="X131" i="4" a="1"/>
  <c r="I9" i="2" a="1"/>
  <c r="V34" i="4" a="1"/>
  <c r="O16" i="4" a="1"/>
  <c r="P111" i="4" a="1"/>
  <c r="N110" i="4" a="1"/>
  <c r="W11" i="4" a="1"/>
  <c r="M21" i="2" a="1"/>
  <c r="AB41" i="4" a="1"/>
  <c r="X136" i="4" a="1"/>
  <c r="AG45" i="4"/>
  <c r="W24" i="4" a="1"/>
  <c r="AH55" i="4"/>
  <c r="V98" i="4" a="1"/>
  <c r="AE89" i="4" a="1"/>
  <c r="M83" i="4" a="1"/>
  <c r="AF84" i="4" a="1"/>
  <c r="AE118" i="4" a="1"/>
  <c r="O47" i="4" a="1"/>
  <c r="M41" i="4" a="1"/>
  <c r="AC40" i="4" a="1"/>
  <c r="F12" i="2" a="1"/>
  <c r="Y50" i="4" a="1"/>
  <c r="AB102" i="4" a="1"/>
  <c r="P36" i="4" a="1"/>
  <c r="Z141" i="4" a="1"/>
  <c r="F24" i="2" a="1"/>
  <c r="O37" i="4" a="1"/>
  <c r="O95" i="4" a="1"/>
  <c r="I21" i="2" a="1"/>
  <c r="T47" i="4" a="1"/>
  <c r="W14" i="4" a="1"/>
  <c r="Z68" i="4" a="1"/>
  <c r="D25" i="2" a="1"/>
  <c r="W67" i="4" a="1"/>
  <c r="N88" i="4" a="1"/>
  <c r="Z117" i="4" a="1"/>
  <c r="I10" i="2" a="1"/>
  <c r="Y27" i="4" a="1"/>
  <c r="O69" i="4" a="1"/>
  <c r="K22" i="2" a="1"/>
  <c r="W79" i="4" a="1"/>
  <c r="U64" i="4" a="1"/>
  <c r="AC18" i="4" a="1"/>
  <c r="T16" i="4" a="1"/>
  <c r="M153" i="4" a="1"/>
  <c r="X50" i="4" a="1"/>
  <c r="O114" i="4" a="1"/>
  <c r="AD146" i="4" a="1"/>
  <c r="T54" i="4" a="1"/>
  <c r="AE47" i="4" a="1"/>
  <c r="M103" i="4" a="1"/>
  <c r="AE107" i="4" a="1"/>
  <c r="N16" i="4" a="1"/>
  <c r="AD85" i="4" a="1"/>
  <c r="P14" i="4" a="1"/>
  <c r="AC94" i="4" a="1"/>
  <c r="AD53" i="4" a="1"/>
  <c r="X132" i="4" a="1"/>
  <c r="AA106" i="4" a="1"/>
  <c r="O43" i="4" a="1"/>
  <c r="AB71" i="4" a="1"/>
  <c r="Z13" i="4" a="1"/>
  <c r="O134" i="4" a="1"/>
  <c r="V14" i="4" a="1"/>
  <c r="AD12" i="4" a="1"/>
  <c r="U77" i="4" a="1"/>
  <c r="AH51" i="4"/>
  <c r="AF145" i="4" a="1"/>
  <c r="W37" i="4" a="1"/>
  <c r="AH96" i="4"/>
  <c r="Y45" i="4" a="1"/>
  <c r="T78" i="4" a="1"/>
  <c r="AF82" i="4" a="1"/>
  <c r="AE79" i="4" a="1"/>
  <c r="N14" i="4" a="1"/>
  <c r="X99" i="4" a="1"/>
  <c r="M145" i="4" a="1"/>
  <c r="W153" i="4" a="1"/>
  <c r="AH122" i="4"/>
  <c r="AC55" i="4" a="1"/>
  <c r="AA41" i="4" a="1"/>
  <c r="S99" i="4"/>
  <c r="C9" i="2" a="1"/>
  <c r="AB112" i="4" a="1"/>
  <c r="Z66" i="4" a="1"/>
  <c r="AE94" i="4" a="1"/>
  <c r="AC43" i="4" a="1"/>
  <c r="AD62" i="4" a="1"/>
  <c r="AD122" i="4" a="1"/>
  <c r="Z60" i="4" a="1"/>
  <c r="X7" i="4" a="1"/>
  <c r="AE83" i="4" a="1"/>
  <c r="AF77" i="4" a="1"/>
  <c r="V80" i="4" a="1"/>
  <c r="AF29" i="4" a="1"/>
  <c r="Y94" i="4" a="1"/>
  <c r="P19" i="4" a="1"/>
  <c r="U71" i="4" a="1"/>
  <c r="M117" i="4" a="1"/>
  <c r="AH26" i="4"/>
  <c r="V120" i="4" a="1"/>
  <c r="AF139" i="4" a="1"/>
  <c r="X93" i="4" a="1"/>
  <c r="M118" i="4" a="1"/>
  <c r="F20" i="2" a="1"/>
  <c r="AF35" i="4" a="1"/>
  <c r="AC85" i="4" a="1"/>
  <c r="D14" i="2" a="1"/>
  <c r="AC102" i="4" a="1"/>
  <c r="T49" i="4" a="1"/>
  <c r="W47" i="4" a="1"/>
  <c r="Z129" i="4" a="1"/>
  <c r="N22" i="4" a="1"/>
  <c r="W31" i="4" a="1"/>
  <c r="Y127" i="4" a="1"/>
  <c r="AD84" i="4" a="1"/>
  <c r="X48" i="4" a="1"/>
  <c r="F23" i="2" a="1"/>
  <c r="W23" i="4" a="1"/>
  <c r="N63" i="4" a="1"/>
  <c r="H13" i="2" a="1"/>
  <c r="E22" i="2" a="1"/>
  <c r="M13" i="4" a="1"/>
  <c r="T99" i="4" a="1"/>
  <c r="AB10" i="4" a="1"/>
  <c r="M30" i="4" a="1"/>
  <c r="AB11" i="4" a="1"/>
  <c r="AC114" i="4" a="1"/>
  <c r="N28" i="4" a="1"/>
  <c r="P132" i="4" a="1"/>
  <c r="AC41" i="4" a="1"/>
  <c r="AE129" i="4" a="1"/>
  <c r="S60" i="4"/>
  <c r="Z53" i="4" a="1"/>
  <c r="H19" i="2" a="1"/>
  <c r="AC7" i="4" a="1"/>
  <c r="AC111" i="4" a="1"/>
  <c r="W138" i="4" a="1"/>
  <c r="N100" i="4" a="1"/>
  <c r="Z41" i="4" a="1"/>
  <c r="D15" i="2" a="1"/>
  <c r="AE45" i="4" a="1"/>
  <c r="O57" i="4" a="1"/>
  <c r="V56" i="4" a="1"/>
  <c r="AG28" i="4"/>
  <c r="W73" i="4" a="1"/>
  <c r="X26" i="4" a="1"/>
  <c r="AB53" i="4" a="1"/>
  <c r="AH52" i="4"/>
  <c r="Z28" i="4" a="1"/>
  <c r="AB57" i="4" a="1"/>
  <c r="N15" i="2"/>
  <c r="X127" i="4" a="1"/>
  <c r="E15" i="2" a="1"/>
  <c r="E19" i="2" a="1"/>
  <c r="V54" i="4" a="1"/>
  <c r="N125" i="4" a="1"/>
  <c r="Y40" i="4" a="1"/>
  <c r="AE32" i="4" a="1"/>
  <c r="U34" i="4" a="1"/>
  <c r="AE19" i="4" a="1"/>
  <c r="Z47" i="4" a="1"/>
  <c r="M97" i="4" a="1"/>
  <c r="X25" i="4" a="1"/>
  <c r="M52" i="4" a="1"/>
  <c r="Z76" i="4" a="1"/>
  <c r="N113" i="4" a="1"/>
  <c r="Q59" i="4"/>
  <c r="X58" i="4" a="1"/>
  <c r="V23" i="4" a="1"/>
  <c r="L4" i="2" a="1"/>
  <c r="L21" i="2" a="1"/>
  <c r="P136" i="4" a="1"/>
  <c r="U144" i="4" a="1"/>
  <c r="AD30" i="4" a="1"/>
  <c r="N155" i="4" a="1"/>
  <c r="H17" i="2" a="1"/>
  <c r="W119" i="4" a="1"/>
  <c r="N43" i="4" a="1"/>
  <c r="AE131" i="4" a="1"/>
  <c r="Y47" i="4" a="1"/>
  <c r="AB143" i="4" a="1"/>
  <c r="X68" i="4" a="1"/>
  <c r="X75" i="4" a="1"/>
  <c r="AA99" i="4" a="1"/>
  <c r="AF52" i="4" a="1"/>
  <c r="Z18" i="4" a="1"/>
  <c r="K14" i="2" a="1"/>
  <c r="U50" i="4" a="1"/>
  <c r="Z84" i="4" a="1"/>
  <c r="T17" i="4" a="1"/>
  <c r="AF140" i="4" a="1"/>
  <c r="N51" i="4" a="1"/>
  <c r="N112" i="4" a="1"/>
  <c r="E21" i="2" a="1"/>
  <c r="Z91" i="4" a="1"/>
  <c r="P48" i="4" a="1"/>
  <c r="AE138" i="4" a="1"/>
  <c r="P38" i="4" a="1"/>
  <c r="I4" i="2" a="1"/>
  <c r="G10" i="2" a="1"/>
  <c r="M3" i="2" a="1"/>
  <c r="M147" i="4" a="1"/>
  <c r="M115" i="4" a="1"/>
  <c r="P43" i="4" a="1"/>
  <c r="AE72" i="4" a="1"/>
  <c r="AB67" i="4" a="1"/>
  <c r="AB43" i="4" a="1"/>
  <c r="AB68" i="4" a="1"/>
  <c r="AA118" i="4" a="1"/>
  <c r="O88" i="4" a="1"/>
  <c r="P40" i="4" a="1"/>
  <c r="S27" i="4"/>
  <c r="T154" i="4" a="1"/>
  <c r="AB89" i="4" a="1"/>
  <c r="U118" i="4" a="1"/>
  <c r="S142" i="4"/>
  <c r="AA147" i="4" a="1"/>
  <c r="Q115" i="4"/>
  <c r="AB22" i="4" a="1"/>
  <c r="M77" i="4" a="1"/>
  <c r="O147" i="4" a="1"/>
  <c r="C19" i="2" a="1"/>
  <c r="AA93" i="4" a="1"/>
  <c r="N64" i="4" a="1"/>
  <c r="AC21" i="4" a="1"/>
  <c r="Q48" i="4"/>
  <c r="V60" i="4" a="1"/>
  <c r="E24" i="2" a="1"/>
  <c r="M78" i="4" a="1"/>
  <c r="M75" i="4" a="1"/>
  <c r="AC9" i="4" a="1"/>
  <c r="S135" i="4"/>
  <c r="M51" i="4" a="1"/>
  <c r="AB16" i="4" a="1"/>
  <c r="Y121" i="4" a="1"/>
  <c r="X120" i="4" a="1"/>
  <c r="Z103" i="4" a="1"/>
  <c r="AH73" i="4"/>
  <c r="AC53" i="4" a="1"/>
  <c r="L22" i="2" a="1"/>
  <c r="T156" i="4" a="1"/>
  <c r="V149" i="4" a="1"/>
  <c r="U51" i="4" a="1"/>
  <c r="M86" i="4" a="1"/>
  <c r="AC39" i="4" a="1"/>
  <c r="T55" i="4" a="1"/>
  <c r="X113" i="4" a="1"/>
  <c r="AB156" i="4" a="1"/>
  <c r="AF102" i="4" a="1"/>
  <c r="Q28" i="4"/>
  <c r="AC65" i="4" a="1"/>
  <c r="AB109" i="4" a="1"/>
  <c r="T58" i="4" a="1"/>
  <c r="AC98" i="4" a="1"/>
  <c r="X52" i="4" a="1"/>
  <c r="M15" i="4" a="1"/>
  <c r="AF47" i="4" a="1"/>
  <c r="T36" i="4" a="1"/>
  <c r="V48" i="4" a="1"/>
  <c r="N18" i="4" a="1"/>
  <c r="O67" i="4" a="1"/>
  <c r="M76" i="4" a="1"/>
  <c r="AB36" i="4" a="1"/>
  <c r="O84" i="4" a="1"/>
  <c r="W34" i="4" a="1"/>
  <c r="W27" i="4" a="1"/>
  <c r="T32" i="4" a="1"/>
  <c r="M43" i="4" a="1"/>
  <c r="I16" i="2" a="1"/>
  <c r="T90" i="4" a="1"/>
  <c r="AA105" i="4" a="1"/>
  <c r="L19" i="2" a="1"/>
  <c r="W133" i="4" a="1"/>
  <c r="AH54" i="4"/>
  <c r="AG73" i="4"/>
  <c r="AD17" i="4" a="1"/>
  <c r="U104" i="4" a="1"/>
  <c r="M21" i="4" a="1"/>
  <c r="AF76" i="4" a="1"/>
  <c r="AE7" i="4" a="1"/>
  <c r="AA115" i="4" a="1"/>
  <c r="AD115" i="4" a="1"/>
  <c r="AE9" i="4" a="1"/>
  <c r="X8" i="4" a="1"/>
  <c r="AC51" i="4" a="1"/>
  <c r="O8" i="4" a="1"/>
  <c r="P51" i="4" a="1"/>
  <c r="AF103" i="4" a="1"/>
  <c r="Z137" i="4" a="1"/>
  <c r="AD71" i="4" a="1"/>
  <c r="X32" i="4" a="1"/>
  <c r="S107" i="4"/>
  <c r="M104" i="4" a="1"/>
  <c r="S117" i="4"/>
  <c r="E18" i="2" a="1"/>
  <c r="T145" i="4" a="1"/>
  <c r="Q131" i="4"/>
  <c r="N19" i="4" a="1"/>
  <c r="T129" i="4" a="1"/>
  <c r="U15" i="4" a="1"/>
  <c r="AE156" i="4" a="1"/>
  <c r="AD113" i="4" a="1"/>
  <c r="W15" i="4" a="1"/>
  <c r="S19" i="4"/>
  <c r="D12" i="2" a="1"/>
  <c r="U18" i="4" a="1"/>
  <c r="AE71" i="4" a="1"/>
  <c r="W10" i="4" a="1"/>
  <c r="U89" i="4" a="1"/>
  <c r="C6" i="2" a="1"/>
  <c r="Q98" i="4"/>
  <c r="P60" i="4" a="1"/>
  <c r="AA83" i="4" a="1"/>
  <c r="K23" i="2" a="1"/>
  <c r="T34" i="4" a="1"/>
  <c r="P141" i="4" a="1"/>
  <c r="Z23" i="4" a="1"/>
  <c r="T96" i="4" a="1"/>
  <c r="T146" i="4" a="1"/>
  <c r="AA77" i="4" a="1"/>
  <c r="E3" i="2" a="1"/>
  <c r="X96" i="4" a="1"/>
  <c r="N102" i="4" a="1"/>
  <c r="P140" i="4" a="1"/>
  <c r="AB34" i="4" a="1"/>
  <c r="U68" i="4" a="1"/>
  <c r="X73" i="4" a="1"/>
  <c r="O25" i="4" a="1"/>
  <c r="AG12" i="4"/>
  <c r="W71" i="4" a="1"/>
  <c r="S82" i="4"/>
  <c r="AC93" i="4" a="1"/>
  <c r="AE158" i="4" a="1"/>
  <c r="W64" i="4" a="1"/>
  <c r="AB58" i="4" a="1"/>
  <c r="X38" i="4" a="1"/>
  <c r="W55" i="4" a="1"/>
  <c r="W157" i="4" a="1"/>
  <c r="AD80" i="4" a="1"/>
  <c r="F25" i="2" a="1"/>
  <c r="P79" i="4" a="1"/>
  <c r="T68" i="4" a="1"/>
  <c r="AB132" i="4" a="1"/>
  <c r="Y85" i="4" a="1"/>
  <c r="P104" i="4" a="1"/>
  <c r="Y75" i="4" a="1"/>
  <c r="AE91" i="4" a="1"/>
  <c r="X19" i="4" a="1"/>
  <c r="P16" i="4" a="1"/>
  <c r="AG97" i="4"/>
  <c r="H24" i="2" a="1"/>
  <c r="N55" i="4" a="1"/>
  <c r="AF56" i="4" a="1"/>
  <c r="X155" i="4" a="1"/>
  <c r="N106" i="4" a="1"/>
  <c r="U74" i="4" a="1"/>
  <c r="W122" i="4" a="1"/>
  <c r="O63" i="4" a="1"/>
  <c r="Z12" i="4" a="1"/>
  <c r="P68" i="4" a="1"/>
  <c r="M36" i="4" a="1"/>
  <c r="U110" i="4" a="1"/>
  <c r="V44" i="4" a="1"/>
  <c r="V113" i="4" a="1"/>
  <c r="AH44" i="4"/>
  <c r="AC60" i="4" a="1"/>
  <c r="X154" i="4" a="1"/>
  <c r="O56" i="4" a="1"/>
  <c r="AC158" i="4" a="1"/>
  <c r="AE110" i="4" a="1"/>
  <c r="T133" i="4" a="1"/>
  <c r="X139" i="4" a="1"/>
  <c r="V129" i="4" a="1"/>
  <c r="X16" i="4" a="1"/>
  <c r="AC95" i="4" a="1"/>
  <c r="AA30" i="4" a="1"/>
  <c r="X87" i="4" a="1"/>
  <c r="AG98" i="4"/>
  <c r="N156" i="4" a="1"/>
  <c r="AC110" i="4" a="1"/>
  <c r="AA85" i="4" a="1"/>
  <c r="Q128" i="4"/>
  <c r="W35" i="4" a="1"/>
  <c r="O49" i="4" a="1"/>
  <c r="AF73" i="4" a="1"/>
  <c r="V104" i="4" a="1"/>
  <c r="AB96" i="4" a="1"/>
  <c r="AD132" i="4" a="1"/>
  <c r="AD55" i="4" a="1"/>
  <c r="P63" i="4" a="1"/>
  <c r="AA76" i="4" a="1"/>
  <c r="AE27" i="4" a="1"/>
  <c r="U123" i="4" a="1"/>
  <c r="AD107" i="4" a="1"/>
  <c r="AF125" i="4" a="1"/>
  <c r="AC84" i="4" a="1"/>
  <c r="Z25" i="4" a="1"/>
  <c r="AA58" i="4" a="1"/>
  <c r="V101" i="4" a="1"/>
  <c r="AA155" i="4" a="1"/>
  <c r="O123" i="4" a="1"/>
  <c r="N95" i="4" a="1"/>
  <c r="X116" i="4" a="1"/>
  <c r="Q49" i="4"/>
  <c r="S58" i="4"/>
  <c r="X45" i="4" a="1"/>
  <c r="V111" i="4" a="1"/>
  <c r="AD27" i="4" a="1"/>
  <c r="AB63" i="4" a="1"/>
  <c r="U32" i="4" a="1"/>
  <c r="AH31" i="4"/>
  <c r="AC127" i="4" a="1"/>
  <c r="AE113" i="4" a="1"/>
  <c r="Y35" i="4" a="1"/>
  <c r="AA56" i="4" a="1"/>
  <c r="T98" i="4" a="1"/>
  <c r="W147" i="4" a="1"/>
  <c r="U106" i="4" a="1"/>
  <c r="O19" i="4" a="1"/>
  <c r="O17" i="4" a="1"/>
  <c r="M159" i="4" a="1"/>
  <c r="AA74" i="4" a="1"/>
  <c r="AA28" i="4" a="1"/>
  <c r="AF153" i="4" a="1"/>
  <c r="C3" i="2" a="1"/>
  <c r="AC73" i="4" a="1"/>
  <c r="AE116" i="4" a="1"/>
  <c r="AB114" i="4" a="1"/>
  <c r="Z102" i="4" a="1"/>
  <c r="Y148" i="4" a="1"/>
  <c r="W52" i="4" a="1"/>
  <c r="Y103" i="4" a="1"/>
  <c r="AF126" i="4" a="1"/>
  <c r="M105" i="4" a="1"/>
  <c r="U69" i="4" a="1"/>
  <c r="AC27" i="4" a="1"/>
  <c r="AF44" i="4" a="1"/>
  <c r="X51" i="4" a="1"/>
  <c r="AE53" i="4" a="1"/>
  <c r="AD21" i="4" a="1"/>
  <c r="AC152" i="4" a="1"/>
  <c r="N153" i="4" a="1"/>
  <c r="W61" i="4" a="1"/>
  <c r="O23" i="4" a="1"/>
  <c r="Y136" i="4" a="1"/>
  <c r="N46" i="4" a="1"/>
  <c r="AB48" i="4" a="1"/>
  <c r="V47" i="4" a="1"/>
  <c r="V85" i="4" a="1"/>
  <c r="M132" i="4" a="1"/>
  <c r="O92" i="4" a="1"/>
  <c r="N73" i="4" a="1"/>
  <c r="V146" i="4" a="1"/>
  <c r="AB157" i="4" a="1"/>
  <c r="AA140" i="4" a="1"/>
  <c r="L25" i="2" a="1"/>
  <c r="U101" i="4" a="1"/>
  <c r="AD32" i="4" a="1"/>
  <c r="AH104" i="4"/>
  <c r="P46" i="4" a="1"/>
  <c r="AD34" i="4" a="1"/>
  <c r="Y79" i="4" a="1"/>
  <c r="K18" i="2" a="1"/>
  <c r="Y82" i="4" a="1"/>
  <c r="AC54" i="4" a="1"/>
  <c r="Z75" i="4" a="1"/>
  <c r="AF97" i="4" a="1"/>
  <c r="Y24" i="4" a="1"/>
  <c r="O40" i="4" a="1"/>
  <c r="AF94" i="4" a="1"/>
  <c r="U19" i="4" a="1"/>
  <c r="Y29" i="4" a="1"/>
  <c r="AE90" i="4" a="1"/>
  <c r="M18" i="2" a="1"/>
  <c r="T105" i="4" a="1"/>
  <c r="AD76" i="4" a="1"/>
  <c r="W77" i="4" a="1"/>
  <c r="P112" i="4" a="1"/>
  <c r="P84" i="4" a="1"/>
  <c r="X86" i="4" a="1"/>
  <c r="Q70" i="4"/>
  <c r="AH28" i="4"/>
  <c r="U26" i="4" a="1"/>
  <c r="W86" i="4" a="1"/>
  <c r="N114" i="4" a="1"/>
  <c r="J17" i="2" a="1"/>
  <c r="AD35" i="4" a="1"/>
  <c r="AB110" i="4" a="1"/>
  <c r="AA130" i="4" a="1"/>
  <c r="E14" i="2" a="1"/>
  <c r="T95" i="4" a="1"/>
  <c r="X156" i="4" a="1"/>
  <c r="AE40" i="4" a="1"/>
  <c r="AB18" i="4" a="1"/>
  <c r="AE24" i="4" a="1"/>
  <c r="W134" i="4" a="1"/>
  <c r="AB111" i="4" a="1"/>
  <c r="L24" i="2" a="1"/>
  <c r="AB56" i="4" a="1"/>
  <c r="V102" i="4" a="1"/>
  <c r="AH87" i="4"/>
  <c r="V158" i="4" a="1"/>
  <c r="S122" i="4"/>
  <c r="AF15" i="4" a="1"/>
  <c r="O140" i="4" a="1"/>
  <c r="AA139" i="4" a="1"/>
  <c r="N116" i="4" a="1"/>
  <c r="Q158" i="4"/>
  <c r="AE143" i="4" a="1"/>
  <c r="W97" i="4" a="1"/>
  <c r="Y117" i="4" a="1"/>
  <c r="X145" i="4" a="1"/>
  <c r="AH145" i="4"/>
  <c r="U38" i="4" a="1"/>
  <c r="AA48" i="4" a="1"/>
  <c r="AA19" i="4" a="1"/>
  <c r="X33" i="4" a="1"/>
  <c r="AC45" i="4" a="1"/>
  <c r="N66" i="4" a="1"/>
  <c r="Y53" i="4" a="1"/>
  <c r="I17" i="2" a="1"/>
  <c r="O35" i="4" a="1"/>
  <c r="P99" i="4" a="1"/>
  <c r="S83" i="4"/>
  <c r="U59" i="4" a="1"/>
  <c r="P102" i="4" a="1"/>
  <c r="AD114" i="4" a="1"/>
  <c r="AA54" i="4" a="1"/>
  <c r="M126" i="4" a="1"/>
  <c r="Z149" i="4" a="1"/>
  <c r="Z94" i="4" a="1"/>
  <c r="W72" i="4" a="1"/>
  <c r="T107" i="4" a="1"/>
  <c r="S62" i="4"/>
  <c r="F17" i="2" a="1"/>
  <c r="I22" i="2" a="1"/>
  <c r="N34" i="4" a="1"/>
  <c r="AF71" i="4" a="1"/>
  <c r="P32" i="4" a="1"/>
  <c r="AC29" i="4" a="1"/>
  <c r="Y134" i="4" a="1"/>
  <c r="U41" i="4" a="1"/>
  <c r="Y90" i="4" a="1"/>
  <c r="U94" i="4" a="1"/>
  <c r="P91" i="4" a="1"/>
  <c r="O112" i="4" a="1"/>
  <c r="M138" i="4" a="1"/>
  <c r="I23" i="2" a="1"/>
  <c r="P49" i="4" a="1"/>
  <c r="U85" i="4" a="1"/>
  <c r="AF63" i="4" a="1"/>
  <c r="S146" i="4"/>
  <c r="N50" i="4" a="1"/>
  <c r="M49" i="4" a="1"/>
  <c r="AG42" i="4"/>
  <c r="AD139" i="4" a="1"/>
  <c r="Y116" i="4" a="1"/>
  <c r="AE68" i="4" a="1"/>
  <c r="H10" i="2" a="1"/>
  <c r="AB42" i="4" a="1"/>
  <c r="P107" i="4" a="1"/>
  <c r="V74" i="4" a="1"/>
  <c r="AB122" i="4" a="1"/>
  <c r="M29" i="4" a="1"/>
  <c r="C8" i="2" a="1"/>
  <c r="F14" i="2" a="1"/>
  <c r="Z120" i="4" a="1"/>
  <c r="Q44" i="4"/>
  <c r="AD97" i="4" a="1"/>
  <c r="T73" i="4" a="1"/>
  <c r="U57" i="4" a="1"/>
  <c r="AD81" i="4" a="1"/>
  <c r="C14" i="2" a="1"/>
  <c r="V96" i="4" a="1"/>
  <c r="AB101" i="4" a="1"/>
  <c r="AC61" i="4" a="1"/>
  <c r="J7" i="2" a="1"/>
  <c r="AC139" i="4" a="1"/>
  <c r="O34" i="4" a="1"/>
  <c r="AF78" i="4" a="1"/>
  <c r="E13" i="2" a="1"/>
  <c r="C7" i="2" a="1"/>
  <c r="O138" i="4" a="1"/>
  <c r="Y83" i="4" a="1"/>
  <c r="M11" i="2" a="1"/>
  <c r="P118" i="4" a="1"/>
  <c r="AC86" i="4" a="1"/>
  <c r="N107" i="4" a="1"/>
  <c r="N61" i="4" a="1"/>
  <c r="U122" i="4" a="1"/>
  <c r="AG68" i="4"/>
  <c r="AE18" i="4" a="1"/>
  <c r="AF110" i="4" a="1"/>
  <c r="AC113" i="4" a="1"/>
  <c r="AD24" i="4" a="1"/>
  <c r="Z35" i="4" a="1"/>
  <c r="Z154" i="4" a="1"/>
  <c r="AA80" i="4" a="1"/>
  <c r="M14" i="2" a="1"/>
  <c r="W66" i="4" a="1"/>
  <c r="K5" i="2" a="1"/>
  <c r="M19" i="2" a="1"/>
  <c r="N67" i="4" a="1"/>
  <c r="N109" i="4" a="1"/>
  <c r="U49" i="4" a="1"/>
  <c r="AF121" i="4" a="1"/>
  <c r="S79" i="4"/>
  <c r="AD70" i="4" a="1"/>
  <c r="Z42" i="4" a="1"/>
  <c r="AA89" i="4" a="1"/>
  <c r="C5" i="2" a="1"/>
  <c r="AA10" i="4" a="1"/>
  <c r="AE58" i="4" a="1"/>
  <c r="AD65" i="4" a="1"/>
  <c r="Z116" i="4" a="1"/>
  <c r="AF41" i="4" a="1"/>
  <c r="W68" i="4" a="1"/>
  <c r="S103" i="4"/>
  <c r="U127" i="4" a="1"/>
  <c r="AC121" i="4" a="1"/>
  <c r="AC112" i="4" a="1"/>
  <c r="Q52" i="4"/>
  <c r="AF79" i="4" a="1"/>
  <c r="AG57" i="4"/>
  <c r="V110" i="4" a="1"/>
  <c r="T148" i="4" a="1"/>
  <c r="W19" i="4" a="1"/>
  <c r="AF16" i="4" a="1"/>
  <c r="AF105" i="4" a="1"/>
  <c r="AG70" i="4"/>
  <c r="E4" i="2" a="1"/>
  <c r="Y13" i="4" a="1"/>
  <c r="AA27" i="4" a="1"/>
  <c r="X102" i="4" a="1"/>
  <c r="AB86" i="4" a="1"/>
  <c r="J21" i="2" a="1"/>
  <c r="Y36" i="4" a="1"/>
  <c r="P18" i="4" a="1"/>
  <c r="AE38" i="4" a="1"/>
  <c r="O155" i="4" a="1"/>
  <c r="AA90" i="4" a="1"/>
  <c r="M158" i="4" a="1"/>
  <c r="AG62" i="4"/>
  <c r="C12" i="2" a="1"/>
  <c r="W85" i="4" a="1"/>
  <c r="AC74" i="4" a="1"/>
  <c r="N133" i="4" a="1"/>
  <c r="X80" i="4" a="1"/>
  <c r="T48" i="4" a="1"/>
  <c r="X77" i="4" a="1"/>
  <c r="O102" i="4" a="1"/>
  <c r="Q139" i="4"/>
  <c r="N20" i="4" a="1"/>
  <c r="U46" i="4" a="1"/>
  <c r="Q129" i="4"/>
  <c r="N81" i="4" a="1"/>
  <c r="AD141" i="4" a="1"/>
  <c r="Q154" i="4"/>
  <c r="AF46" i="4" a="1"/>
  <c r="AF69" i="4" a="1"/>
  <c r="AB21" i="4" a="1"/>
  <c r="N31" i="4" a="1"/>
  <c r="V64" i="4" a="1"/>
  <c r="P57" i="4" a="1"/>
  <c r="AH80" i="4"/>
  <c r="N154" i="4" a="1"/>
  <c r="AB123" i="4" a="1"/>
  <c r="AF96" i="4" a="1"/>
  <c r="W38" i="4" a="1"/>
  <c r="G14" i="2" a="1"/>
  <c r="D4" i="2" a="1"/>
  <c r="M94" i="4" a="1"/>
  <c r="AF85" i="4" a="1"/>
  <c r="Z51" i="4" a="1"/>
  <c r="S33" i="4"/>
  <c r="V81" i="4" a="1"/>
  <c r="AA137" i="4" a="1"/>
  <c r="X35" i="4" a="1"/>
  <c r="X104" i="4" a="1"/>
  <c r="AF17" i="4" a="1"/>
  <c r="P131" i="4" a="1"/>
  <c r="L18" i="2" a="1"/>
  <c r="P22" i="4" a="1"/>
  <c r="X151" i="4" a="1"/>
  <c r="M90" i="4" a="1"/>
  <c r="D10" i="2" a="1"/>
  <c r="O14" i="4" a="1"/>
  <c r="AB60" i="4" a="1"/>
  <c r="S128" i="4"/>
  <c r="AD159" i="4" a="1"/>
  <c r="AE36" i="4" a="1"/>
  <c r="P73" i="4" a="1"/>
  <c r="AD102" i="4" a="1"/>
  <c r="U7" i="4" a="1"/>
  <c r="P74" i="4" a="1"/>
  <c r="AC31" i="4" a="1"/>
  <c r="W22" i="4" a="1"/>
  <c r="F6" i="2" a="1"/>
  <c r="W76" i="4" a="1"/>
  <c r="Z45" i="4" a="1"/>
  <c r="D23" i="2" a="1"/>
  <c r="V42" i="4" a="1"/>
  <c r="T137" i="4" a="1"/>
  <c r="J18" i="2" a="1"/>
  <c r="AC49" i="4" a="1"/>
  <c r="J12" i="2" a="1"/>
  <c r="Y145" i="4" a="1"/>
  <c r="Y58" i="4" a="1"/>
  <c r="AE54" i="4" a="1"/>
  <c r="U10" i="4" a="1"/>
  <c r="O83" i="4" a="1"/>
  <c r="L15" i="2" a="1"/>
  <c r="AF148" i="4" a="1"/>
  <c r="T37" i="4" a="1"/>
  <c r="AA42" i="4" a="1"/>
  <c r="Z106" i="4" a="1"/>
  <c r="X91" i="4" a="1"/>
  <c r="H20" i="2" a="1"/>
  <c r="E20" i="2" a="1"/>
  <c r="AG125" i="4"/>
  <c r="AC33" i="4" a="1"/>
  <c r="AD120" i="4" a="1"/>
  <c r="U109" i="4" a="1"/>
  <c r="Y15" i="4" a="1"/>
  <c r="X66" i="4" a="1"/>
  <c r="U67" i="4" a="1"/>
  <c r="AC92" i="4" a="1"/>
  <c r="Y114" i="4" a="1"/>
  <c r="D5" i="2" a="1"/>
  <c r="AG78" i="4"/>
  <c r="T114" i="4" a="1"/>
  <c r="S111" i="4"/>
  <c r="AD103" i="4" a="1"/>
  <c r="Y102" i="4" a="1"/>
  <c r="Z78" i="4" a="1"/>
  <c r="P158" i="4" a="1"/>
  <c r="AD147" i="4" a="1"/>
  <c r="V61" i="4" a="1"/>
  <c r="K16" i="2" a="1"/>
  <c r="AE75" i="4" a="1"/>
  <c r="AF93" i="4" a="1"/>
  <c r="Y139" i="4" a="1"/>
  <c r="M140" i="4" a="1"/>
  <c r="T140" i="4" a="1"/>
  <c r="N60" i="4" a="1"/>
  <c r="AE48" i="4" a="1"/>
  <c r="P152" i="4" a="1"/>
  <c r="W83" i="4" a="1"/>
  <c r="M16" i="2" a="1"/>
  <c r="Z74" i="4" a="1"/>
  <c r="N76" i="4" a="1"/>
  <c r="AG106" i="4"/>
  <c r="C23" i="2" a="1"/>
  <c r="J24" i="2" a="1"/>
  <c r="U9" i="4" a="1"/>
  <c r="V58" i="4" a="1"/>
  <c r="V17" i="4" a="1"/>
  <c r="Z32" i="4" a="1"/>
  <c r="T30" i="4" a="1"/>
  <c r="AC122" i="4" a="1"/>
  <c r="AC132" i="4" a="1"/>
  <c r="N72" i="4" a="1"/>
  <c r="T13" i="4" a="1"/>
  <c r="X152" i="4" a="1"/>
  <c r="N142" i="4" a="1"/>
  <c r="Y70" i="4" a="1"/>
  <c r="AD109" i="4" a="1"/>
  <c r="AH136" i="4"/>
  <c r="AE21" i="4" a="1"/>
  <c r="AF123" i="4" a="1"/>
  <c r="AB133" i="4" a="1"/>
  <c r="AA111" i="4" a="1"/>
  <c r="M44" i="4" a="1"/>
  <c r="X71" i="4" a="1"/>
  <c r="AF156" i="4" a="1"/>
  <c r="Y131" i="4" a="1"/>
  <c r="AH106" i="4"/>
  <c r="X146" i="4" a="1"/>
  <c r="AF49" i="4" a="1"/>
  <c r="AB125" i="4" a="1"/>
  <c r="O20" i="4" a="1"/>
  <c r="C21" i="2" a="1"/>
  <c r="V24" i="4" a="1"/>
  <c r="AA141" i="4" a="1"/>
  <c r="AG101" i="4"/>
  <c r="O15" i="4" a="1"/>
  <c r="T8" i="4" a="1"/>
  <c r="T119" i="4" a="1"/>
  <c r="G11" i="2" a="1"/>
  <c r="T62" i="4" a="1"/>
  <c r="Y23" i="4" a="1"/>
  <c r="T33" i="4" a="1"/>
  <c r="AE142" i="4" a="1"/>
  <c r="O93" i="4" a="1"/>
  <c r="T15" i="4" a="1"/>
  <c r="V68" i="4" a="1"/>
  <c r="P24" i="4" a="1"/>
  <c r="AB155" i="4" a="1"/>
  <c r="AE15" i="4" a="1"/>
  <c r="Y34" i="4" a="1"/>
  <c r="G13" i="2" a="1"/>
  <c r="AB95" i="4" a="1"/>
  <c r="E10" i="2" a="1"/>
  <c r="F9" i="2" a="1"/>
  <c r="AF81" i="4" a="1"/>
  <c r="M33" i="4" a="1"/>
  <c r="Z29" i="4" a="1"/>
  <c r="AC118" i="4" a="1"/>
  <c r="AB90" i="4" a="1"/>
  <c r="M20" i="4" a="1"/>
  <c r="AD14" i="4" a="1"/>
  <c r="M96" i="4" a="1"/>
  <c r="Z69" i="4" a="1"/>
  <c r="W88" i="4" a="1"/>
  <c r="M5" i="2" a="1"/>
  <c r="Z63" i="4" a="1"/>
  <c r="AG8" i="4"/>
  <c r="AA31" i="4" a="1"/>
  <c r="G16" i="2" a="1"/>
  <c r="O139" i="4" a="1"/>
  <c r="M26" i="4" a="1"/>
  <c r="K3" i="2" a="1"/>
  <c r="X106" i="4" a="1"/>
  <c r="AE41" i="4" a="1"/>
  <c r="AC82" i="4" a="1"/>
  <c r="O65" i="4" a="1"/>
  <c r="Q146" i="4"/>
  <c r="X11" i="4" a="1"/>
  <c r="AE122" i="4" a="1"/>
  <c r="O141" i="4" a="1"/>
  <c r="Z114" i="4" a="1"/>
  <c r="G20" i="2" a="1"/>
  <c r="Y122" i="4" a="1"/>
  <c r="Z72" i="4" a="1"/>
  <c r="O120" i="4" a="1"/>
  <c r="AF92" i="4" a="1"/>
  <c r="P100" i="4" a="1"/>
  <c r="W135" i="4" a="1"/>
  <c r="X21" i="4" a="1"/>
  <c r="N56" i="4" a="1"/>
  <c r="Z37" i="4" a="1"/>
  <c r="W28" i="4" a="1"/>
  <c r="G3" i="2" a="1"/>
  <c r="X34" i="4" a="1"/>
  <c r="AD111" i="4" a="1"/>
  <c r="M99" i="4" a="1"/>
  <c r="P21" i="4" a="1"/>
  <c r="V135" i="4" a="1"/>
  <c r="V103" i="4" a="1"/>
  <c r="P13" i="4" a="1"/>
  <c r="V82" i="4" a="1"/>
  <c r="AB24" i="4" a="1"/>
  <c r="AF34" i="4" a="1"/>
  <c r="Z38" i="4" a="1"/>
  <c r="AE78" i="4" a="1"/>
  <c r="S10" i="4"/>
  <c r="AB28" i="4" a="1"/>
  <c r="P50" i="4" a="1"/>
  <c r="M134" i="4" a="1"/>
  <c r="O31" i="4" a="1"/>
  <c r="W151" i="4" a="1"/>
  <c r="AA60" i="4" a="1"/>
  <c r="AC106" i="4" a="1"/>
  <c r="V138" i="4" a="1"/>
  <c r="F15" i="2" a="1"/>
  <c r="X100" i="4" a="1"/>
  <c r="AA68" i="4" a="1"/>
  <c r="X64" i="4" a="1"/>
  <c r="Y125" i="4" a="1"/>
  <c r="AD67" i="4" a="1"/>
  <c r="AA35" i="4" a="1"/>
  <c r="G24" i="2" a="1"/>
  <c r="Y17" i="4" a="1"/>
  <c r="AE140" i="4" a="1"/>
  <c r="Y33" i="4" a="1"/>
  <c r="Z145" i="4" a="1"/>
  <c r="P59" i="4" a="1"/>
  <c r="X47" i="4" a="1"/>
  <c r="H11" i="2" a="1"/>
  <c r="C20" i="2" a="1"/>
  <c r="AE28" i="4" a="1"/>
  <c r="X10" i="4" a="1"/>
  <c r="T12" i="4" a="1"/>
  <c r="Y19" i="4" a="1"/>
  <c r="AA50" i="4" a="1"/>
  <c r="X125" i="4" a="1"/>
  <c r="V55" i="4" a="1"/>
  <c r="O30" i="4" a="1"/>
  <c r="AE70" i="4" a="1"/>
  <c r="U12" i="4" a="1"/>
  <c r="C25" i="2" a="1"/>
  <c r="AB78" i="4" a="1"/>
  <c r="Q124" i="4"/>
  <c r="U75" i="4" a="1"/>
  <c r="AH29" i="4"/>
  <c r="AH89" i="4"/>
  <c r="J20" i="2" a="1"/>
  <c r="H25" i="2" a="1"/>
  <c r="P12" i="4" a="1"/>
  <c r="M25" i="4" a="1"/>
  <c r="M22" i="4" a="1"/>
  <c r="AB37" i="4" a="1"/>
  <c r="AB39" i="4" a="1"/>
  <c r="AB19" i="4" a="1"/>
  <c r="X44" i="4" a="1"/>
  <c r="AA62" i="4" a="1"/>
  <c r="Z107" i="4" a="1"/>
  <c r="N37" i="4" a="1"/>
  <c r="V25" i="4" a="1"/>
  <c r="AB66" i="4" a="1"/>
  <c r="AC34" i="4" a="1"/>
  <c r="S72" i="4"/>
  <c r="AF37" i="4" a="1"/>
  <c r="H5" i="12"/>
  <c r="E5" i="12"/>
  <c r="G15" i="12"/>
  <c r="H11" i="12"/>
  <c r="G14" i="12"/>
  <c r="F17" i="12"/>
  <c r="G7" i="12"/>
  <c r="F16" i="12"/>
  <c r="H13" i="12"/>
  <c r="E14" i="12"/>
  <c r="H7" i="12"/>
  <c r="F24" i="12"/>
  <c r="H18" i="12"/>
  <c r="F18" i="12"/>
  <c r="G5" i="12"/>
  <c r="F15" i="12"/>
  <c r="E17" i="12"/>
  <c r="G17" i="12"/>
  <c r="G12" i="12"/>
  <c r="E15" i="12"/>
  <c r="G16" i="12"/>
  <c r="F11" i="12"/>
  <c r="G13" i="12"/>
  <c r="E6" i="12"/>
  <c r="F6" i="12"/>
  <c r="H27" i="12"/>
  <c r="F13" i="12"/>
  <c r="E12" i="12"/>
  <c r="H15" i="12"/>
  <c r="F5" i="12"/>
  <c r="E13" i="12"/>
  <c r="F14" i="12"/>
  <c r="F7" i="12"/>
  <c r="E24" i="12"/>
  <c r="G18" i="12"/>
  <c r="E16" i="12"/>
  <c r="H12" i="12"/>
  <c r="H24" i="12"/>
  <c r="G6" i="12"/>
  <c r="H16" i="12"/>
  <c r="G24" i="12"/>
  <c r="H17" i="12"/>
  <c r="F27" i="12"/>
  <c r="E18" i="12"/>
  <c r="F12" i="12"/>
  <c r="E7" i="12"/>
  <c r="G11" i="12"/>
  <c r="H6" i="12"/>
  <c r="E11" i="12"/>
  <c r="E27" i="12"/>
  <c r="H14" i="12"/>
  <c r="G27" i="12"/>
  <c r="AC118" i="4" l="1"/>
  <c r="N37" i="4"/>
  <c r="H33" i="8" s="1"/>
  <c r="J33" i="8" s="1"/>
  <c r="AA35" i="4"/>
  <c r="L31" i="7" s="1"/>
  <c r="AB95" i="4"/>
  <c r="T140" i="4"/>
  <c r="J136" i="5" s="1"/>
  <c r="AF156" i="4"/>
  <c r="F152" i="7" s="1"/>
  <c r="Z78" i="4"/>
  <c r="N56" i="4"/>
  <c r="H52" i="8" s="1"/>
  <c r="J52" i="8" s="1"/>
  <c r="Z29" i="4"/>
  <c r="Z107" i="4"/>
  <c r="AD67" i="4"/>
  <c r="G13" i="2"/>
  <c r="M140" i="4"/>
  <c r="B136" i="8" s="1"/>
  <c r="D136" i="8" s="1"/>
  <c r="X71" i="4"/>
  <c r="Y102" i="4"/>
  <c r="AF37" i="4"/>
  <c r="F33" i="7" s="1"/>
  <c r="M33" i="4"/>
  <c r="B29" i="8" s="1"/>
  <c r="D29" i="8" s="1"/>
  <c r="AA62" i="4"/>
  <c r="L58" i="7" s="1"/>
  <c r="Y125" i="4"/>
  <c r="Y34" i="4"/>
  <c r="Y139" i="4"/>
  <c r="M44" i="4"/>
  <c r="B40" i="8" s="1"/>
  <c r="D40" i="8" s="1"/>
  <c r="AD103" i="4"/>
  <c r="X21" i="4"/>
  <c r="AF81" i="4"/>
  <c r="F77" i="7" s="1"/>
  <c r="X44" i="4"/>
  <c r="X64" i="4"/>
  <c r="AE15" i="4"/>
  <c r="AB125" i="4"/>
  <c r="AA111" i="4"/>
  <c r="L107" i="7" s="1"/>
  <c r="F9" i="2"/>
  <c r="AB19" i="4"/>
  <c r="AA68" i="4"/>
  <c r="L64" i="7" s="1"/>
  <c r="AB155" i="4"/>
  <c r="AF93" i="4"/>
  <c r="F89" i="7" s="1"/>
  <c r="AB133" i="4"/>
  <c r="T114" i="4"/>
  <c r="J110" i="5" s="1"/>
  <c r="D10" i="2"/>
  <c r="E10" i="2"/>
  <c r="AB39" i="4"/>
  <c r="X100" i="4"/>
  <c r="P100" i="4"/>
  <c r="I96" i="8" s="1"/>
  <c r="AE75" i="4"/>
  <c r="AF123" i="4"/>
  <c r="F119" i="7" s="1"/>
  <c r="F74" i="6"/>
  <c r="E74" i="6"/>
  <c r="M90" i="4"/>
  <c r="B86" i="8" s="1"/>
  <c r="D86" i="8" s="1"/>
  <c r="AC34" i="4"/>
  <c r="AB37" i="4"/>
  <c r="F15" i="2"/>
  <c r="AF92" i="4"/>
  <c r="F88" i="7" s="1"/>
  <c r="P24" i="4"/>
  <c r="I20" i="8" s="1"/>
  <c r="AE21" i="4"/>
  <c r="D5" i="2"/>
  <c r="X151" i="4"/>
  <c r="AB66" i="4"/>
  <c r="M22" i="4"/>
  <c r="B18" i="8" s="1"/>
  <c r="D18" i="8" s="1"/>
  <c r="V138" i="4"/>
  <c r="O120" i="4"/>
  <c r="C116" i="8" s="1"/>
  <c r="AF49" i="4"/>
  <c r="F45" i="7" s="1"/>
  <c r="G132" i="6"/>
  <c r="Y114" i="4"/>
  <c r="P22" i="4"/>
  <c r="I18" i="8" s="1"/>
  <c r="Z145" i="4"/>
  <c r="M25" i="4"/>
  <c r="B21" i="8" s="1"/>
  <c r="D21" i="8" s="1"/>
  <c r="AC106" i="4"/>
  <c r="Z72" i="4"/>
  <c r="V68" i="4"/>
  <c r="AD109" i="4"/>
  <c r="AC92" i="4"/>
  <c r="W135" i="4"/>
  <c r="Y33" i="4"/>
  <c r="P12" i="4"/>
  <c r="I8" i="8" s="1"/>
  <c r="AA60" i="4"/>
  <c r="L56" i="7" s="1"/>
  <c r="Y122" i="4"/>
  <c r="T15" i="4"/>
  <c r="J11" i="5" s="1"/>
  <c r="Y70" i="4"/>
  <c r="U67" i="4"/>
  <c r="P59" i="4"/>
  <c r="I55" i="8" s="1"/>
  <c r="V25" i="4"/>
  <c r="H25" i="2"/>
  <c r="W151" i="4"/>
  <c r="G20" i="2"/>
  <c r="O93" i="4"/>
  <c r="C89" i="8" s="1"/>
  <c r="N142" i="4"/>
  <c r="H138" i="8" s="1"/>
  <c r="J138" i="8" s="1"/>
  <c r="X66" i="4"/>
  <c r="AD14" i="4"/>
  <c r="AE140" i="4"/>
  <c r="AC8" i="4"/>
  <c r="J20" i="2"/>
  <c r="O31" i="4"/>
  <c r="C27" i="8" s="1"/>
  <c r="Z114" i="4"/>
  <c r="AE142" i="4"/>
  <c r="X152" i="4"/>
  <c r="Y15" i="4"/>
  <c r="M20" i="4"/>
  <c r="B16" i="8" s="1"/>
  <c r="D16" i="8" s="1"/>
  <c r="AF133" i="4"/>
  <c r="F129" i="7" s="1"/>
  <c r="Y17" i="4"/>
  <c r="G85" i="6"/>
  <c r="M134" i="4"/>
  <c r="B130" i="8" s="1"/>
  <c r="D130" i="8" s="1"/>
  <c r="O141" i="4"/>
  <c r="C137" i="8" s="1"/>
  <c r="X146" i="4"/>
  <c r="T13" i="4"/>
  <c r="J9" i="5" s="1"/>
  <c r="U109" i="4"/>
  <c r="AA53" i="4"/>
  <c r="L49" i="7" s="1"/>
  <c r="AB90" i="4"/>
  <c r="G24" i="2"/>
  <c r="G25" i="6"/>
  <c r="P50" i="4"/>
  <c r="I46" i="8" s="1"/>
  <c r="AE122" i="4"/>
  <c r="K16" i="2"/>
  <c r="N72" i="4"/>
  <c r="H68" i="8" s="1"/>
  <c r="J68" i="8" s="1"/>
  <c r="J14" i="2"/>
  <c r="AD120" i="4"/>
  <c r="J18" i="2"/>
  <c r="L18" i="2"/>
  <c r="U75" i="4"/>
  <c r="AB28" i="4"/>
  <c r="X11" i="4"/>
  <c r="V61" i="4"/>
  <c r="M111" i="4"/>
  <c r="B107" i="8" s="1"/>
  <c r="D107" i="8" s="1"/>
  <c r="AC132" i="4"/>
  <c r="AC33" i="4"/>
  <c r="T137" i="4"/>
  <c r="J133" i="5" s="1"/>
  <c r="P131" i="4"/>
  <c r="I127" i="8" s="1"/>
  <c r="O12" i="4"/>
  <c r="C8" i="8" s="1"/>
  <c r="T33" i="4"/>
  <c r="J29" i="5" s="1"/>
  <c r="AC122" i="4"/>
  <c r="E121" i="6"/>
  <c r="F121" i="6"/>
  <c r="V42" i="4"/>
  <c r="AF17" i="4"/>
  <c r="F13" i="7" s="1"/>
  <c r="AB78" i="4"/>
  <c r="AE78" i="4"/>
  <c r="O65" i="4"/>
  <c r="C61" i="8" s="1"/>
  <c r="Y23" i="4"/>
  <c r="Y82" i="4"/>
  <c r="T30" i="4"/>
  <c r="J26" i="5" s="1"/>
  <c r="E20" i="2"/>
  <c r="D23" i="2"/>
  <c r="X104" i="4"/>
  <c r="Y67" i="4"/>
  <c r="C25" i="2"/>
  <c r="Z38" i="4"/>
  <c r="K18" i="2"/>
  <c r="AC82" i="4"/>
  <c r="G102" i="6"/>
  <c r="Z32" i="4"/>
  <c r="H20" i="2"/>
  <c r="W108" i="4"/>
  <c r="Z45" i="4"/>
  <c r="X35" i="4"/>
  <c r="Y79" i="4"/>
  <c r="U12" i="4"/>
  <c r="AF34" i="4"/>
  <c r="F30" i="7" s="1"/>
  <c r="AE41" i="4"/>
  <c r="AD147" i="4"/>
  <c r="M71" i="4"/>
  <c r="B67" i="8" s="1"/>
  <c r="D67" i="8" s="1"/>
  <c r="V17" i="4"/>
  <c r="X91" i="4"/>
  <c r="AD34" i="4"/>
  <c r="W76" i="4"/>
  <c r="AA137" i="4"/>
  <c r="L133" i="7" s="1"/>
  <c r="AE70" i="4"/>
  <c r="AB24" i="4"/>
  <c r="L17" i="2"/>
  <c r="X106" i="4"/>
  <c r="P158" i="4"/>
  <c r="I154" i="8" s="1"/>
  <c r="P46" i="4"/>
  <c r="I42" i="8" s="1"/>
  <c r="V58" i="4"/>
  <c r="Z106" i="4"/>
  <c r="F6" i="2"/>
  <c r="V81" i="4"/>
  <c r="AD51" i="4"/>
  <c r="O30" i="4"/>
  <c r="C26" i="8" s="1"/>
  <c r="V82" i="4"/>
  <c r="G100" i="6"/>
  <c r="K3" i="2"/>
  <c r="Y131" i="4"/>
  <c r="U9" i="4"/>
  <c r="AA42" i="4"/>
  <c r="L38" i="7" s="1"/>
  <c r="O55" i="4"/>
  <c r="C51" i="8" s="1"/>
  <c r="W22" i="4"/>
  <c r="AD32" i="4"/>
  <c r="V55" i="4"/>
  <c r="P13" i="4"/>
  <c r="I9" i="8" s="1"/>
  <c r="V23" i="4"/>
  <c r="M26" i="4"/>
  <c r="B22" i="8" s="1"/>
  <c r="D22" i="8" s="1"/>
  <c r="AC63" i="4"/>
  <c r="T62" i="4"/>
  <c r="J58" i="5" s="1"/>
  <c r="J24" i="2"/>
  <c r="U101" i="4"/>
  <c r="T37" i="4"/>
  <c r="J33" i="5" s="1"/>
  <c r="AC31" i="4"/>
  <c r="X58" i="4"/>
  <c r="AC94" i="4"/>
  <c r="Y71" i="4"/>
  <c r="Z51" i="4"/>
  <c r="X125" i="4"/>
  <c r="L25" i="2"/>
  <c r="V103" i="4"/>
  <c r="O139" i="4"/>
  <c r="C135" i="8" s="1"/>
  <c r="P14" i="4"/>
  <c r="I10" i="8" s="1"/>
  <c r="AC107" i="4"/>
  <c r="G11" i="2"/>
  <c r="C23" i="2"/>
  <c r="AA140" i="4"/>
  <c r="L136" i="7" s="1"/>
  <c r="AF148" i="4"/>
  <c r="F144" i="7" s="1"/>
  <c r="P74" i="4"/>
  <c r="I70" i="8" s="1"/>
  <c r="N113" i="4"/>
  <c r="H109" i="8" s="1"/>
  <c r="J109" i="8" s="1"/>
  <c r="AD85" i="4"/>
  <c r="T104" i="4"/>
  <c r="J100" i="5" s="1"/>
  <c r="AF85" i="4"/>
  <c r="F81" i="7" s="1"/>
  <c r="AA50" i="4"/>
  <c r="L46" i="7" s="1"/>
  <c r="AB157" i="4"/>
  <c r="Y85" i="4"/>
  <c r="V135" i="4"/>
  <c r="Z76" i="4"/>
  <c r="N16" i="4"/>
  <c r="H12" i="8" s="1"/>
  <c r="J12" i="8" s="1"/>
  <c r="X130" i="4"/>
  <c r="G16" i="2"/>
  <c r="T119" i="4"/>
  <c r="J115" i="5" s="1"/>
  <c r="V146" i="4"/>
  <c r="AB132" i="4"/>
  <c r="K128" i="7" s="1"/>
  <c r="F102" i="6"/>
  <c r="E102" i="6"/>
  <c r="M52" i="4"/>
  <c r="B48" i="8" s="1"/>
  <c r="D48" i="8" s="1"/>
  <c r="AE107" i="4"/>
  <c r="U37" i="4"/>
  <c r="L15" i="2"/>
  <c r="U7" i="4"/>
  <c r="N73" i="4"/>
  <c r="H69" i="8" s="1"/>
  <c r="J69" i="8" s="1"/>
  <c r="T68" i="4"/>
  <c r="J64" i="5" s="1"/>
  <c r="M94" i="4"/>
  <c r="B90" i="8" s="1"/>
  <c r="D90" i="8" s="1"/>
  <c r="X25" i="4"/>
  <c r="M103" i="4"/>
  <c r="B99" i="8" s="1"/>
  <c r="D99" i="8" s="1"/>
  <c r="Y111" i="4"/>
  <c r="Y19" i="4"/>
  <c r="P21" i="4"/>
  <c r="I17" i="8" s="1"/>
  <c r="O92" i="4"/>
  <c r="C88" i="8" s="1"/>
  <c r="P79" i="4"/>
  <c r="I75" i="8" s="1"/>
  <c r="AA31" i="4"/>
  <c r="L27" i="7" s="1"/>
  <c r="M97" i="4"/>
  <c r="B93" i="8" s="1"/>
  <c r="D93" i="8" s="1"/>
  <c r="AE47" i="4"/>
  <c r="G148" i="6"/>
  <c r="T8" i="4"/>
  <c r="J4" i="5" s="1"/>
  <c r="T73" i="4"/>
  <c r="J69" i="5" s="1"/>
  <c r="M132" i="4"/>
  <c r="B128" i="8" s="1"/>
  <c r="D128" i="8" s="1"/>
  <c r="F25" i="2"/>
  <c r="N76" i="4"/>
  <c r="H72" i="8" s="1"/>
  <c r="J72" i="8" s="1"/>
  <c r="Z47" i="4"/>
  <c r="T54" i="4"/>
  <c r="J50" i="5" s="1"/>
  <c r="V49" i="4"/>
  <c r="O83" i="4"/>
  <c r="C79" i="8" s="1"/>
  <c r="AD97" i="4"/>
  <c r="V85" i="4"/>
  <c r="AD80" i="4"/>
  <c r="AD102" i="4"/>
  <c r="AE19" i="4"/>
  <c r="AD146" i="4"/>
  <c r="N89" i="4"/>
  <c r="H85" i="8" s="1"/>
  <c r="J85" i="8" s="1"/>
  <c r="D4" i="2"/>
  <c r="V47" i="4"/>
  <c r="W157" i="4"/>
  <c r="T12" i="4"/>
  <c r="J8" i="5" s="1"/>
  <c r="U34" i="4"/>
  <c r="O114" i="4"/>
  <c r="C110" i="8" s="1"/>
  <c r="T111" i="4"/>
  <c r="J107" i="5" s="1"/>
  <c r="M99" i="4"/>
  <c r="B95" i="8" s="1"/>
  <c r="D95" i="8" s="1"/>
  <c r="Z120" i="4"/>
  <c r="AB48" i="4"/>
  <c r="W55" i="4"/>
  <c r="F4" i="6"/>
  <c r="E4" i="6"/>
  <c r="AE32" i="4"/>
  <c r="X50" i="4"/>
  <c r="K8" i="2"/>
  <c r="O15" i="4"/>
  <c r="C11" i="8" s="1"/>
  <c r="F14" i="2"/>
  <c r="N46" i="4"/>
  <c r="H42" i="8" s="1"/>
  <c r="J42" i="8" s="1"/>
  <c r="X38" i="4"/>
  <c r="Z74" i="4"/>
  <c r="Y40" i="4"/>
  <c r="M153" i="4"/>
  <c r="B149" i="8" s="1"/>
  <c r="D149" i="8" s="1"/>
  <c r="AD45" i="4"/>
  <c r="U10" i="4"/>
  <c r="C8" i="2"/>
  <c r="Y136" i="4"/>
  <c r="AB58" i="4"/>
  <c r="P73" i="4"/>
  <c r="I69" i="8" s="1"/>
  <c r="N125" i="4"/>
  <c r="H121" i="8" s="1"/>
  <c r="J121" i="8" s="1"/>
  <c r="T16" i="4"/>
  <c r="J12" i="5" s="1"/>
  <c r="G14" i="2"/>
  <c r="M29" i="4"/>
  <c r="B25" i="8" s="1"/>
  <c r="D25" i="8" s="1"/>
  <c r="O23" i="4"/>
  <c r="C19" i="8" s="1"/>
  <c r="W64" i="4"/>
  <c r="X10" i="4"/>
  <c r="V54" i="4"/>
  <c r="AC18" i="4"/>
  <c r="U108" i="4"/>
  <c r="AD111" i="4"/>
  <c r="AB122" i="4"/>
  <c r="W61" i="4"/>
  <c r="AE158" i="4"/>
  <c r="Z63" i="4"/>
  <c r="E19" i="2"/>
  <c r="U64" i="4"/>
  <c r="W98" i="4"/>
  <c r="F97" i="6"/>
  <c r="E97" i="6"/>
  <c r="V74" i="4"/>
  <c r="N153" i="4"/>
  <c r="H149" i="8" s="1"/>
  <c r="J149" i="8" s="1"/>
  <c r="AC93" i="4"/>
  <c r="M16" i="2"/>
  <c r="E15" i="2"/>
  <c r="W79" i="4"/>
  <c r="X84" i="4"/>
  <c r="AE54" i="4"/>
  <c r="P107" i="4"/>
  <c r="I103" i="8" s="1"/>
  <c r="AC152" i="4"/>
  <c r="AE36" i="4"/>
  <c r="X127" i="4"/>
  <c r="K22" i="2"/>
  <c r="G152" i="6"/>
  <c r="W38" i="4"/>
  <c r="AB42" i="4"/>
  <c r="AD21" i="4"/>
  <c r="W71" i="4"/>
  <c r="AE28" i="4"/>
  <c r="O69" i="4"/>
  <c r="C65" i="8" s="1"/>
  <c r="M67" i="4"/>
  <c r="B63" i="8" s="1"/>
  <c r="D63" i="8" s="1"/>
  <c r="X34" i="4"/>
  <c r="H10" i="2"/>
  <c r="AE53" i="4"/>
  <c r="E8" i="6"/>
  <c r="F8" i="6"/>
  <c r="M5" i="2"/>
  <c r="AB57" i="4"/>
  <c r="Y27" i="4"/>
  <c r="AF22" i="4"/>
  <c r="F18" i="7" s="1"/>
  <c r="P57" i="4"/>
  <c r="I53" i="8" s="1"/>
  <c r="AE68" i="4"/>
  <c r="X51" i="4"/>
  <c r="O25" i="4"/>
  <c r="C21" i="8" s="1"/>
  <c r="AA141" i="4"/>
  <c r="L137" i="7" s="1"/>
  <c r="Z28" i="4"/>
  <c r="I10" i="2"/>
  <c r="U136" i="4"/>
  <c r="V64" i="4"/>
  <c r="Y116" i="4"/>
  <c r="AF44" i="4"/>
  <c r="F40" i="7" s="1"/>
  <c r="X73" i="4"/>
  <c r="W83" i="4"/>
  <c r="G48" i="6"/>
  <c r="Z117" i="4"/>
  <c r="I14" i="2"/>
  <c r="N31" i="4"/>
  <c r="H27" i="8" s="1"/>
  <c r="J27" i="8" s="1"/>
  <c r="AD139" i="4"/>
  <c r="AC27" i="4"/>
  <c r="U68" i="4"/>
  <c r="Y58" i="4"/>
  <c r="AB53" i="4"/>
  <c r="N88" i="4"/>
  <c r="H84" i="8" s="1"/>
  <c r="J84" i="8" s="1"/>
  <c r="W95" i="4"/>
  <c r="AB21" i="4"/>
  <c r="E38" i="6"/>
  <c r="F38" i="6"/>
  <c r="U69" i="4"/>
  <c r="AB34" i="4"/>
  <c r="K30" i="7" s="1"/>
  <c r="AD159" i="4"/>
  <c r="X26" i="4"/>
  <c r="W67" i="4"/>
  <c r="W43" i="4"/>
  <c r="AF69" i="4"/>
  <c r="F65" i="7" s="1"/>
  <c r="M49" i="4"/>
  <c r="B45" i="8" s="1"/>
  <c r="D45" i="8" s="1"/>
  <c r="M105" i="4"/>
  <c r="B101" i="8" s="1"/>
  <c r="D101" i="8" s="1"/>
  <c r="P140" i="4"/>
  <c r="I136" i="8" s="1"/>
  <c r="AF96" i="4"/>
  <c r="F92" i="7" s="1"/>
  <c r="W73" i="4"/>
  <c r="D25" i="2"/>
  <c r="P122" i="4"/>
  <c r="I118" i="8" s="1"/>
  <c r="AF46" i="4"/>
  <c r="F42" i="7" s="1"/>
  <c r="N50" i="4"/>
  <c r="H46" i="8" s="1"/>
  <c r="J46" i="8" s="1"/>
  <c r="AF126" i="4"/>
  <c r="F122" i="7" s="1"/>
  <c r="N102" i="4"/>
  <c r="H98" i="8" s="1"/>
  <c r="J98" i="8" s="1"/>
  <c r="C20" i="2"/>
  <c r="F24" i="6"/>
  <c r="E24" i="6"/>
  <c r="Z68" i="4"/>
  <c r="Y55" i="4"/>
  <c r="Y103" i="4"/>
  <c r="X96" i="4"/>
  <c r="G3" i="2"/>
  <c r="V56" i="4"/>
  <c r="W14" i="4"/>
  <c r="Y26" i="4"/>
  <c r="AD141" i="4"/>
  <c r="AF63" i="4"/>
  <c r="F59" i="7" s="1"/>
  <c r="W52" i="4"/>
  <c r="E3" i="2"/>
  <c r="W88" i="4"/>
  <c r="O57" i="4"/>
  <c r="C53" i="8" s="1"/>
  <c r="T47" i="4"/>
  <c r="J43" i="5" s="1"/>
  <c r="W30" i="4"/>
  <c r="N81" i="4"/>
  <c r="H77" i="8" s="1"/>
  <c r="J77" i="8" s="1"/>
  <c r="U85" i="4"/>
  <c r="Y148" i="4"/>
  <c r="AA77" i="4"/>
  <c r="L73" i="7" s="1"/>
  <c r="V24" i="4"/>
  <c r="AE45" i="4"/>
  <c r="I21" i="2"/>
  <c r="G15" i="2"/>
  <c r="P49" i="4"/>
  <c r="I45" i="8" s="1"/>
  <c r="Z102" i="4"/>
  <c r="T146" i="4"/>
  <c r="J142" i="5" s="1"/>
  <c r="P152" i="4"/>
  <c r="I148" i="8" s="1"/>
  <c r="D15" i="2"/>
  <c r="O95" i="4"/>
  <c r="C91" i="8" s="1"/>
  <c r="C17" i="2"/>
  <c r="U46" i="4"/>
  <c r="I23" i="2"/>
  <c r="AB114" i="4"/>
  <c r="T96" i="4"/>
  <c r="J92" i="5" s="1"/>
  <c r="Y145" i="4"/>
  <c r="H141" i="7" s="1"/>
  <c r="Z41" i="4"/>
  <c r="O37" i="4"/>
  <c r="C33" i="8" s="1"/>
  <c r="AE98" i="4"/>
  <c r="N20" i="4"/>
  <c r="H16" i="8" s="1"/>
  <c r="J16" i="8" s="1"/>
  <c r="M138" i="4"/>
  <c r="B134" i="8" s="1"/>
  <c r="D134" i="8" s="1"/>
  <c r="AE116" i="4"/>
  <c r="Z23" i="4"/>
  <c r="N100" i="4"/>
  <c r="H96" i="8" s="1"/>
  <c r="J96" i="8" s="1"/>
  <c r="F24" i="2"/>
  <c r="M65" i="4"/>
  <c r="B61" i="8" s="1"/>
  <c r="D61" i="8" s="1"/>
  <c r="O112" i="4"/>
  <c r="C108" i="8" s="1"/>
  <c r="AC73" i="4"/>
  <c r="P141" i="4"/>
  <c r="I137" i="8" s="1"/>
  <c r="AB123" i="4"/>
  <c r="W138" i="4"/>
  <c r="Z141" i="4"/>
  <c r="G25" i="2"/>
  <c r="O102" i="4"/>
  <c r="C98" i="8" s="1"/>
  <c r="P91" i="4"/>
  <c r="I87" i="8" s="1"/>
  <c r="C3" i="2"/>
  <c r="T34" i="4"/>
  <c r="J30" i="5" s="1"/>
  <c r="H11" i="2"/>
  <c r="AC111" i="4"/>
  <c r="P36" i="4"/>
  <c r="I32" i="8" s="1"/>
  <c r="AA18" i="4"/>
  <c r="L14" i="7" s="1"/>
  <c r="X77" i="4"/>
  <c r="U94" i="4"/>
  <c r="AF153" i="4"/>
  <c r="F149" i="7" s="1"/>
  <c r="K23" i="2"/>
  <c r="W28" i="4"/>
  <c r="AC7" i="4"/>
  <c r="AB102" i="4"/>
  <c r="D18" i="2"/>
  <c r="T48" i="4"/>
  <c r="J44" i="5" s="1"/>
  <c r="Y90" i="4"/>
  <c r="AA28" i="4"/>
  <c r="L24" i="7" s="1"/>
  <c r="AA83" i="4"/>
  <c r="L79" i="7" s="1"/>
  <c r="Z69" i="4"/>
  <c r="H19" i="2"/>
  <c r="Y50" i="4"/>
  <c r="P87" i="4"/>
  <c r="I83" i="8" s="1"/>
  <c r="X80" i="4"/>
  <c r="U41" i="4"/>
  <c r="AA74" i="4"/>
  <c r="L70" i="7" s="1"/>
  <c r="P60" i="4"/>
  <c r="I56" i="8" s="1"/>
  <c r="C21" i="2"/>
  <c r="Z53" i="4"/>
  <c r="F12" i="2"/>
  <c r="C15" i="2"/>
  <c r="N133" i="4"/>
  <c r="H129" i="8" s="1"/>
  <c r="J129" i="8" s="1"/>
  <c r="Y134" i="4"/>
  <c r="M159" i="4"/>
  <c r="B155" i="8" s="1"/>
  <c r="D155" i="8" s="1"/>
  <c r="AE48" i="4"/>
  <c r="AC40" i="4"/>
  <c r="AE20" i="4"/>
  <c r="AC74" i="4"/>
  <c r="AC29" i="4"/>
  <c r="O17" i="4"/>
  <c r="C13" i="8" s="1"/>
  <c r="C6" i="2"/>
  <c r="J12" i="2"/>
  <c r="AE129" i="4"/>
  <c r="M41" i="4"/>
  <c r="B37" i="8" s="1"/>
  <c r="D37" i="8" s="1"/>
  <c r="O58" i="4"/>
  <c r="C54" i="8" s="1"/>
  <c r="W85" i="4"/>
  <c r="P32" i="4"/>
  <c r="I28" i="8" s="1"/>
  <c r="O19" i="4"/>
  <c r="C15" i="8" s="1"/>
  <c r="U89" i="4"/>
  <c r="AB60" i="4"/>
  <c r="AC41" i="4"/>
  <c r="O47" i="4"/>
  <c r="C43" i="8" s="1"/>
  <c r="Z80" i="4"/>
  <c r="C12" i="2"/>
  <c r="AF71" i="4"/>
  <c r="F67" i="7" s="1"/>
  <c r="U106" i="4"/>
  <c r="W10" i="4"/>
  <c r="N154" i="4"/>
  <c r="H150" i="8" s="1"/>
  <c r="J150" i="8" s="1"/>
  <c r="P132" i="4"/>
  <c r="I128" i="8" s="1"/>
  <c r="AE118" i="4"/>
  <c r="AC26" i="4"/>
  <c r="F58" i="6"/>
  <c r="E58" i="6"/>
  <c r="N34" i="4"/>
  <c r="H30" i="8" s="1"/>
  <c r="J30" i="8" s="1"/>
  <c r="W147" i="4"/>
  <c r="AE71" i="4"/>
  <c r="X47" i="4"/>
  <c r="N28" i="4"/>
  <c r="H24" i="8" s="1"/>
  <c r="J24" i="8" s="1"/>
  <c r="AF84" i="4"/>
  <c r="F80" i="7" s="1"/>
  <c r="T50" i="4"/>
  <c r="J46" i="5" s="1"/>
  <c r="M158" i="4"/>
  <c r="B154" i="8" s="1"/>
  <c r="D154" i="8" s="1"/>
  <c r="I22" i="2"/>
  <c r="T98" i="4"/>
  <c r="J94" i="5" s="1"/>
  <c r="U18" i="4"/>
  <c r="Z37" i="4"/>
  <c r="AC114" i="4"/>
  <c r="M83" i="4"/>
  <c r="B79" i="8" s="1"/>
  <c r="D79" i="8" s="1"/>
  <c r="W123" i="4"/>
  <c r="AA90" i="4"/>
  <c r="L86" i="7" s="1"/>
  <c r="F17" i="2"/>
  <c r="AA56" i="4"/>
  <c r="L52" i="7" s="1"/>
  <c r="D12" i="2"/>
  <c r="M96" i="4"/>
  <c r="B92" i="8" s="1"/>
  <c r="D92" i="8" s="1"/>
  <c r="AB11" i="4"/>
  <c r="AE89" i="4"/>
  <c r="AA24" i="4"/>
  <c r="L20" i="7" s="1"/>
  <c r="O155" i="4"/>
  <c r="C151" i="8" s="1"/>
  <c r="Y35" i="4"/>
  <c r="O20" i="4"/>
  <c r="C16" i="8" s="1"/>
  <c r="M30" i="4"/>
  <c r="B26" i="8" s="1"/>
  <c r="D26" i="8" s="1"/>
  <c r="V98" i="4"/>
  <c r="AC97" i="4"/>
  <c r="AE38" i="4"/>
  <c r="T107" i="4"/>
  <c r="J103" i="5" s="1"/>
  <c r="AE113" i="4"/>
  <c r="W15" i="4"/>
  <c r="N60" i="4"/>
  <c r="H56" i="8" s="1"/>
  <c r="J56" i="8" s="1"/>
  <c r="AB10" i="4"/>
  <c r="G51" i="6"/>
  <c r="O44" i="4"/>
  <c r="C40" i="8" s="1"/>
  <c r="P18" i="4"/>
  <c r="I14" i="8" s="1"/>
  <c r="W72" i="4"/>
  <c r="AC127" i="4"/>
  <c r="AD113" i="4"/>
  <c r="AC49" i="4"/>
  <c r="T99" i="4"/>
  <c r="J95" i="5" s="1"/>
  <c r="W24" i="4"/>
  <c r="AB154" i="4"/>
  <c r="Y36" i="4"/>
  <c r="Z94" i="4"/>
  <c r="G27" i="6"/>
  <c r="AE156" i="4"/>
  <c r="O14" i="4"/>
  <c r="C10" i="8" s="1"/>
  <c r="M13" i="4"/>
  <c r="B9" i="8" s="1"/>
  <c r="D9" i="8" s="1"/>
  <c r="E41" i="6"/>
  <c r="F41" i="6"/>
  <c r="G60" i="6"/>
  <c r="J21" i="2"/>
  <c r="Z149" i="4"/>
  <c r="U32" i="4"/>
  <c r="U15" i="4"/>
  <c r="G76" i="6"/>
  <c r="E22" i="2"/>
  <c r="X136" i="4"/>
  <c r="P159" i="4"/>
  <c r="I155" i="8" s="1"/>
  <c r="AB86" i="4"/>
  <c r="M126" i="4"/>
  <c r="B122" i="8" s="1"/>
  <c r="D122" i="8" s="1"/>
  <c r="AB63" i="4"/>
  <c r="K59" i="7" s="1"/>
  <c r="T129" i="4"/>
  <c r="J125" i="5" s="1"/>
  <c r="AB16" i="4"/>
  <c r="H13" i="2"/>
  <c r="AB41" i="4"/>
  <c r="O94" i="4"/>
  <c r="C90" i="8" s="1"/>
  <c r="X102" i="4"/>
  <c r="AA54" i="4"/>
  <c r="L50" i="7" s="1"/>
  <c r="AD27" i="4"/>
  <c r="N19" i="4"/>
  <c r="H15" i="8" s="1"/>
  <c r="J15" i="8" s="1"/>
  <c r="M51" i="4"/>
  <c r="B47" i="8" s="1"/>
  <c r="D47" i="8" s="1"/>
  <c r="N63" i="4"/>
  <c r="H59" i="8" s="1"/>
  <c r="J59" i="8" s="1"/>
  <c r="M21" i="2"/>
  <c r="AE61" i="4"/>
  <c r="AA27" i="4"/>
  <c r="L23" i="7" s="1"/>
  <c r="AD114" i="4"/>
  <c r="V111" i="4"/>
  <c r="W23" i="4"/>
  <c r="W11" i="4"/>
  <c r="V91" i="4"/>
  <c r="Y13" i="4"/>
  <c r="P102" i="4"/>
  <c r="I98" i="8" s="1"/>
  <c r="X45" i="4"/>
  <c r="T145" i="4"/>
  <c r="J141" i="5" s="1"/>
  <c r="AC9" i="4"/>
  <c r="F23" i="2"/>
  <c r="N110" i="4"/>
  <c r="H106" i="8" s="1"/>
  <c r="J106" i="8" s="1"/>
  <c r="W149" i="4"/>
  <c r="E4" i="2"/>
  <c r="U59" i="4"/>
  <c r="E18" i="2"/>
  <c r="M75" i="4"/>
  <c r="B71" i="8" s="1"/>
  <c r="D71" i="8" s="1"/>
  <c r="X48" i="4"/>
  <c r="P111" i="4"/>
  <c r="I107" i="8" s="1"/>
  <c r="F66" i="6"/>
  <c r="E66" i="6"/>
  <c r="M78" i="4"/>
  <c r="B74" i="8" s="1"/>
  <c r="D74" i="8" s="1"/>
  <c r="AD84" i="4"/>
  <c r="O16" i="4"/>
  <c r="C12" i="8" s="1"/>
  <c r="W127" i="4"/>
  <c r="AF105" i="4"/>
  <c r="F101" i="7" s="1"/>
  <c r="P99" i="4"/>
  <c r="I95" i="8" s="1"/>
  <c r="X116" i="4"/>
  <c r="M104" i="4"/>
  <c r="B100" i="8" s="1"/>
  <c r="D100" i="8" s="1"/>
  <c r="E24" i="2"/>
  <c r="Y127" i="4"/>
  <c r="V34" i="4"/>
  <c r="AC25" i="4"/>
  <c r="AF16" i="4"/>
  <c r="F12" i="7" s="1"/>
  <c r="O35" i="4"/>
  <c r="C31" i="8" s="1"/>
  <c r="N95" i="4"/>
  <c r="H91" i="8" s="1"/>
  <c r="J91" i="8" s="1"/>
  <c r="V60" i="4"/>
  <c r="W31" i="4"/>
  <c r="I9" i="2"/>
  <c r="AE49" i="4"/>
  <c r="W19" i="4"/>
  <c r="I17" i="2"/>
  <c r="O123" i="4"/>
  <c r="C119" i="8" s="1"/>
  <c r="X32" i="4"/>
  <c r="N22" i="4"/>
  <c r="H18" i="8" s="1"/>
  <c r="J18" i="8" s="1"/>
  <c r="X131" i="4"/>
  <c r="G120" i="6"/>
  <c r="T148" i="4"/>
  <c r="J144" i="5" s="1"/>
  <c r="Y53" i="4"/>
  <c r="AA155" i="4"/>
  <c r="L151" i="7" s="1"/>
  <c r="AD71" i="4"/>
  <c r="AC21" i="4"/>
  <c r="Z129" i="4"/>
  <c r="G144" i="6"/>
  <c r="P88" i="4"/>
  <c r="I84" i="8" s="1"/>
  <c r="V110" i="4"/>
  <c r="N66" i="4"/>
  <c r="H62" i="8" s="1"/>
  <c r="J62" i="8" s="1"/>
  <c r="V101" i="4"/>
  <c r="Z137" i="4"/>
  <c r="N64" i="4"/>
  <c r="H60" i="8" s="1"/>
  <c r="J60" i="8" s="1"/>
  <c r="W47" i="4"/>
  <c r="Y38" i="4"/>
  <c r="H34" i="7" s="1"/>
  <c r="E53" i="6"/>
  <c r="F53" i="6"/>
  <c r="AC45" i="4"/>
  <c r="AA58" i="4"/>
  <c r="L54" i="7" s="1"/>
  <c r="AF103" i="4"/>
  <c r="F99" i="7" s="1"/>
  <c r="AA93" i="4"/>
  <c r="L89" i="7" s="1"/>
  <c r="T49" i="4"/>
  <c r="J45" i="5" s="1"/>
  <c r="AF90" i="4"/>
  <c r="F86" i="7" s="1"/>
  <c r="AC109" i="4"/>
  <c r="AF79" i="4"/>
  <c r="F75" i="7" s="1"/>
  <c r="X33" i="4"/>
  <c r="Z25" i="4"/>
  <c r="P51" i="4"/>
  <c r="I47" i="8" s="1"/>
  <c r="C19" i="2"/>
  <c r="AC102" i="4"/>
  <c r="J11" i="2"/>
  <c r="O119" i="4"/>
  <c r="C115" i="8" s="1"/>
  <c r="AA19" i="4"/>
  <c r="L15" i="7" s="1"/>
  <c r="AC84" i="4"/>
  <c r="O8" i="4"/>
  <c r="C4" i="8" s="1"/>
  <c r="O147" i="4"/>
  <c r="C143" i="8" s="1"/>
  <c r="D14" i="2"/>
  <c r="V51" i="4"/>
  <c r="AD42" i="4"/>
  <c r="AC112" i="4"/>
  <c r="AA48" i="4"/>
  <c r="L44" i="7" s="1"/>
  <c r="AF125" i="4"/>
  <c r="F121" i="7" s="1"/>
  <c r="AC51" i="4"/>
  <c r="M77" i="4"/>
  <c r="B73" i="8" s="1"/>
  <c r="D73" i="8" s="1"/>
  <c r="AC85" i="4"/>
  <c r="U112" i="4"/>
  <c r="AA23" i="4"/>
  <c r="L19" i="7" s="1"/>
  <c r="AC121" i="4"/>
  <c r="U38" i="4"/>
  <c r="AD107" i="4"/>
  <c r="X8" i="4"/>
  <c r="AB22" i="4"/>
  <c r="AF35" i="4"/>
  <c r="F31" i="7" s="1"/>
  <c r="AB79" i="4"/>
  <c r="Z89" i="4"/>
  <c r="U127" i="4"/>
  <c r="G141" i="6"/>
  <c r="U123" i="4"/>
  <c r="AE9" i="4"/>
  <c r="F20" i="2"/>
  <c r="AE12" i="4"/>
  <c r="G19" i="2"/>
  <c r="X145" i="4"/>
  <c r="AE27" i="4"/>
  <c r="AD115" i="4"/>
  <c r="AA147" i="4"/>
  <c r="L143" i="7" s="1"/>
  <c r="M118" i="4"/>
  <c r="B114" i="8" s="1"/>
  <c r="D114" i="8" s="1"/>
  <c r="AB33" i="4"/>
  <c r="K29" i="7" s="1"/>
  <c r="AB80" i="4"/>
  <c r="W68" i="4"/>
  <c r="Y117" i="4"/>
  <c r="H113" i="7" s="1"/>
  <c r="AA76" i="4"/>
  <c r="L72" i="7" s="1"/>
  <c r="AA115" i="4"/>
  <c r="L111" i="7" s="1"/>
  <c r="X93" i="4"/>
  <c r="T113" i="4"/>
  <c r="J109" i="5" s="1"/>
  <c r="M62" i="4"/>
  <c r="B58" i="8" s="1"/>
  <c r="D58" i="8" s="1"/>
  <c r="AF41" i="4"/>
  <c r="F37" i="7" s="1"/>
  <c r="W97" i="4"/>
  <c r="P63" i="4"/>
  <c r="I59" i="8" s="1"/>
  <c r="AE7" i="4"/>
  <c r="U118" i="4"/>
  <c r="AF139" i="4"/>
  <c r="F135" i="7" s="1"/>
  <c r="V87" i="4"/>
  <c r="K9" i="2"/>
  <c r="Z116" i="4"/>
  <c r="AE143" i="4"/>
  <c r="AD55" i="4"/>
  <c r="AF76" i="4"/>
  <c r="F72" i="7" s="1"/>
  <c r="AB89" i="4"/>
  <c r="V120" i="4"/>
  <c r="O79" i="4"/>
  <c r="C75" i="8" s="1"/>
  <c r="AA145" i="4"/>
  <c r="L141" i="7" s="1"/>
  <c r="AD65" i="4"/>
  <c r="AD132" i="4"/>
  <c r="M21" i="4"/>
  <c r="B17" i="8" s="1"/>
  <c r="D17" i="8" s="1"/>
  <c r="T154" i="4"/>
  <c r="J150" i="5" s="1"/>
  <c r="G22" i="6"/>
  <c r="N129" i="4"/>
  <c r="H125" i="8" s="1"/>
  <c r="J125" i="8" s="1"/>
  <c r="G61" i="6"/>
  <c r="AE58" i="4"/>
  <c r="N116" i="4"/>
  <c r="H112" i="8" s="1"/>
  <c r="J112" i="8" s="1"/>
  <c r="AB96" i="4"/>
  <c r="U104" i="4"/>
  <c r="M117" i="4"/>
  <c r="B113" i="8" s="1"/>
  <c r="D113" i="8" s="1"/>
  <c r="AF100" i="4"/>
  <c r="F96" i="7" s="1"/>
  <c r="V144" i="4"/>
  <c r="AA10" i="4"/>
  <c r="L6" i="7" s="1"/>
  <c r="AA139" i="4"/>
  <c r="L135" i="7" s="1"/>
  <c r="V104" i="4"/>
  <c r="AD17" i="4"/>
  <c r="P40" i="4"/>
  <c r="I36" i="8" s="1"/>
  <c r="U71" i="4"/>
  <c r="V141" i="4"/>
  <c r="AE29" i="4"/>
  <c r="C5" i="2"/>
  <c r="O140" i="4"/>
  <c r="C136" i="8" s="1"/>
  <c r="AF73" i="4"/>
  <c r="F69" i="7" s="1"/>
  <c r="F69" i="6"/>
  <c r="E69" i="6"/>
  <c r="O88" i="4"/>
  <c r="C84" i="8" s="1"/>
  <c r="P19" i="4"/>
  <c r="I15" i="8" s="1"/>
  <c r="X123" i="4"/>
  <c r="U40" i="4"/>
  <c r="AA89" i="4"/>
  <c r="L85" i="7" s="1"/>
  <c r="AF15" i="4"/>
  <c r="F11" i="7" s="1"/>
  <c r="O49" i="4"/>
  <c r="C45" i="8" s="1"/>
  <c r="G50" i="6"/>
  <c r="AA118" i="4"/>
  <c r="L114" i="7" s="1"/>
  <c r="Y94" i="4"/>
  <c r="H90" i="7" s="1"/>
  <c r="G104" i="6"/>
  <c r="Y130" i="4"/>
  <c r="Z42" i="4"/>
  <c r="W35" i="4"/>
  <c r="W133" i="4"/>
  <c r="AB68" i="4"/>
  <c r="AF29" i="4"/>
  <c r="F25" i="7" s="1"/>
  <c r="O54" i="4"/>
  <c r="C50" i="8" s="1"/>
  <c r="Z83" i="4"/>
  <c r="AD70" i="4"/>
  <c r="V158" i="4"/>
  <c r="L19" i="2"/>
  <c r="AB43" i="4"/>
  <c r="V80" i="4"/>
  <c r="O117" i="4"/>
  <c r="C113" i="8" s="1"/>
  <c r="M56" i="4"/>
  <c r="B52" i="8" s="1"/>
  <c r="D52" i="8" s="1"/>
  <c r="V124" i="4"/>
  <c r="G83" i="6"/>
  <c r="AA85" i="4"/>
  <c r="L81" i="7" s="1"/>
  <c r="AA105" i="4"/>
  <c r="L101" i="7" s="1"/>
  <c r="AB67" i="4"/>
  <c r="D22" i="2"/>
  <c r="AF77" i="4"/>
  <c r="F73" i="7" s="1"/>
  <c r="G18" i="2"/>
  <c r="X63" i="4"/>
  <c r="AF121" i="4"/>
  <c r="F117" i="7" s="1"/>
  <c r="V102" i="4"/>
  <c r="AC110" i="4"/>
  <c r="T90" i="4"/>
  <c r="J86" i="5" s="1"/>
  <c r="AC44" i="4"/>
  <c r="AE72" i="4"/>
  <c r="AE83" i="4"/>
  <c r="AE81" i="4"/>
  <c r="C16" i="2"/>
  <c r="U49" i="4"/>
  <c r="AB56" i="4"/>
  <c r="N156" i="4"/>
  <c r="H152" i="8" s="1"/>
  <c r="J152" i="8" s="1"/>
  <c r="AD98" i="4"/>
  <c r="I16" i="2"/>
  <c r="P43" i="4"/>
  <c r="I39" i="8" s="1"/>
  <c r="X7" i="4"/>
  <c r="C22" i="2"/>
  <c r="AD23" i="4"/>
  <c r="N109" i="4"/>
  <c r="H105" i="8" s="1"/>
  <c r="J105" i="8" s="1"/>
  <c r="V83" i="4"/>
  <c r="L24" i="2"/>
  <c r="E94" i="6"/>
  <c r="F94" i="6"/>
  <c r="M43" i="4"/>
  <c r="B39" i="8" s="1"/>
  <c r="D39" i="8" s="1"/>
  <c r="M115" i="4"/>
  <c r="B111" i="8" s="1"/>
  <c r="D111" i="8" s="1"/>
  <c r="Z60" i="4"/>
  <c r="M151" i="4"/>
  <c r="B147" i="8" s="1"/>
  <c r="D147" i="8" s="1"/>
  <c r="V11" i="4"/>
  <c r="AF111" i="4"/>
  <c r="F107" i="7" s="1"/>
  <c r="O145" i="4"/>
  <c r="C141" i="8" s="1"/>
  <c r="N67" i="4"/>
  <c r="H63" i="8" s="1"/>
  <c r="J63" i="8" s="1"/>
  <c r="AB111" i="4"/>
  <c r="K107" i="7" s="1"/>
  <c r="X87" i="4"/>
  <c r="T32" i="4"/>
  <c r="J28" i="5" s="1"/>
  <c r="V10" i="4"/>
  <c r="M147" i="4"/>
  <c r="B143" i="8" s="1"/>
  <c r="D143" i="8" s="1"/>
  <c r="V100" i="4"/>
  <c r="AD122" i="4"/>
  <c r="AE64" i="4"/>
  <c r="U81" i="4"/>
  <c r="M19" i="2"/>
  <c r="W134" i="4"/>
  <c r="M130" i="4"/>
  <c r="B126" i="8" s="1"/>
  <c r="D126" i="8" s="1"/>
  <c r="AA30" i="4"/>
  <c r="L26" i="7" s="1"/>
  <c r="P10" i="4"/>
  <c r="I6" i="8" s="1"/>
  <c r="W27" i="4"/>
  <c r="M3" i="2"/>
  <c r="AD62" i="4"/>
  <c r="W87" i="4"/>
  <c r="G112" i="6"/>
  <c r="AF25" i="4"/>
  <c r="F21" i="7" s="1"/>
  <c r="K5" i="2"/>
  <c r="M24" i="4"/>
  <c r="B20" i="8" s="1"/>
  <c r="D20" i="8" s="1"/>
  <c r="AE24" i="4"/>
  <c r="AC95" i="4"/>
  <c r="W34" i="4"/>
  <c r="G10" i="2"/>
  <c r="AC43" i="4"/>
  <c r="G16" i="6"/>
  <c r="T25" i="4"/>
  <c r="J21" i="5" s="1"/>
  <c r="X15" i="4"/>
  <c r="Z8" i="4"/>
  <c r="W66" i="4"/>
  <c r="AB18" i="4"/>
  <c r="K14" i="7" s="1"/>
  <c r="X16" i="4"/>
  <c r="O84" i="4"/>
  <c r="C80" i="8" s="1"/>
  <c r="P62" i="4"/>
  <c r="I58" i="8" s="1"/>
  <c r="I4" i="2"/>
  <c r="AE94" i="4"/>
  <c r="AD49" i="4"/>
  <c r="P33" i="4"/>
  <c r="I29" i="8" s="1"/>
  <c r="M14" i="2"/>
  <c r="AE40" i="4"/>
  <c r="Y93" i="4"/>
  <c r="V129" i="4"/>
  <c r="AF132" i="4"/>
  <c r="F128" i="7" s="1"/>
  <c r="AB36" i="4"/>
  <c r="P38" i="4"/>
  <c r="I34" i="8" s="1"/>
  <c r="Z66" i="4"/>
  <c r="G133" i="6"/>
  <c r="AD57" i="4"/>
  <c r="Y86" i="4"/>
  <c r="AA80" i="4"/>
  <c r="L76" i="7" s="1"/>
  <c r="AE26" i="4"/>
  <c r="X156" i="4"/>
  <c r="X139" i="4"/>
  <c r="M76" i="4"/>
  <c r="B72" i="8" s="1"/>
  <c r="D72" i="8" s="1"/>
  <c r="AE138" i="4"/>
  <c r="AB112" i="4"/>
  <c r="AD52" i="4"/>
  <c r="Z156" i="4"/>
  <c r="F116" i="6"/>
  <c r="E116" i="6"/>
  <c r="Z154" i="4"/>
  <c r="T95" i="4"/>
  <c r="J91" i="5" s="1"/>
  <c r="T133" i="4"/>
  <c r="J129" i="5" s="1"/>
  <c r="O67" i="4"/>
  <c r="C63" i="8" s="1"/>
  <c r="Y51" i="4"/>
  <c r="H47" i="7" s="1"/>
  <c r="P48" i="4"/>
  <c r="I44" i="8" s="1"/>
  <c r="W114" i="4"/>
  <c r="C9" i="2"/>
  <c r="AF141" i="4"/>
  <c r="F137" i="7" s="1"/>
  <c r="AD58" i="4"/>
  <c r="Z35" i="4"/>
  <c r="E14" i="2"/>
  <c r="O70" i="4"/>
  <c r="C66" i="8" s="1"/>
  <c r="AE110" i="4"/>
  <c r="X83" i="4"/>
  <c r="N18" i="4"/>
  <c r="H14" i="8" s="1"/>
  <c r="J14" i="8" s="1"/>
  <c r="Z91" i="4"/>
  <c r="AF43" i="4"/>
  <c r="F39" i="7" s="1"/>
  <c r="V37" i="4"/>
  <c r="G86" i="6"/>
  <c r="AD24" i="4"/>
  <c r="AD121" i="4"/>
  <c r="AA130" i="4"/>
  <c r="L126" i="7" s="1"/>
  <c r="AC158" i="4"/>
  <c r="V48" i="4"/>
  <c r="E21" i="2"/>
  <c r="AA41" i="4"/>
  <c r="L37" i="7" s="1"/>
  <c r="E11" i="2"/>
  <c r="W131" i="4"/>
  <c r="U116" i="4"/>
  <c r="AB87" i="4"/>
  <c r="AC113" i="4"/>
  <c r="AB110" i="4"/>
  <c r="O56" i="4"/>
  <c r="C52" i="8" s="1"/>
  <c r="T36" i="4"/>
  <c r="J32" i="5" s="1"/>
  <c r="V12" i="4"/>
  <c r="N112" i="4"/>
  <c r="H108" i="8" s="1"/>
  <c r="J108" i="8" s="1"/>
  <c r="N9" i="4"/>
  <c r="H5" i="8" s="1"/>
  <c r="J5" i="8" s="1"/>
  <c r="AC55" i="4"/>
  <c r="O41" i="4"/>
  <c r="C37" i="8" s="1"/>
  <c r="AE66" i="4"/>
  <c r="AF110" i="4"/>
  <c r="F106" i="7" s="1"/>
  <c r="AD35" i="4"/>
  <c r="P31" i="4"/>
  <c r="I27" i="8" s="1"/>
  <c r="X154" i="4"/>
  <c r="T81" i="4"/>
  <c r="J77" i="5" s="1"/>
  <c r="AF47" i="4"/>
  <c r="F43" i="7" s="1"/>
  <c r="N51" i="4"/>
  <c r="H47" i="8" s="1"/>
  <c r="J47" i="8" s="1"/>
  <c r="G118" i="6"/>
  <c r="T144" i="4"/>
  <c r="J140" i="5" s="1"/>
  <c r="G9" i="2"/>
  <c r="AC19" i="4"/>
  <c r="AE18" i="4"/>
  <c r="Z125" i="4"/>
  <c r="J17" i="2"/>
  <c r="AC60" i="4"/>
  <c r="M15" i="4"/>
  <c r="B11" i="8" s="1"/>
  <c r="D11" i="8" s="1"/>
  <c r="AF140" i="4"/>
  <c r="F136" i="7" s="1"/>
  <c r="W153" i="4"/>
  <c r="F36" i="6"/>
  <c r="E36" i="6"/>
  <c r="F3" i="2"/>
  <c r="N39" i="4"/>
  <c r="H35" i="8" s="1"/>
  <c r="J35" i="8" s="1"/>
  <c r="T86" i="4"/>
  <c r="J82" i="5" s="1"/>
  <c r="F64" i="6"/>
  <c r="E64" i="6"/>
  <c r="N114" i="4"/>
  <c r="H110" i="8" s="1"/>
  <c r="J110" i="8" s="1"/>
  <c r="G40" i="6"/>
  <c r="X52" i="4"/>
  <c r="N98" i="4"/>
  <c r="H94" i="8" s="1"/>
  <c r="J94" i="8" s="1"/>
  <c r="T17" i="4"/>
  <c r="J13" i="5" s="1"/>
  <c r="X27" i="4"/>
  <c r="M145" i="4"/>
  <c r="B141" i="8" s="1"/>
  <c r="D141" i="8" s="1"/>
  <c r="G42" i="6"/>
  <c r="U122" i="4"/>
  <c r="W86" i="4"/>
  <c r="O32" i="4"/>
  <c r="C28" i="8" s="1"/>
  <c r="V113" i="4"/>
  <c r="AF8" i="4"/>
  <c r="F4" i="7" s="1"/>
  <c r="AC98" i="4"/>
  <c r="Z84" i="4"/>
  <c r="X99" i="4"/>
  <c r="T89" i="4"/>
  <c r="J85" i="5" s="1"/>
  <c r="N121" i="4"/>
  <c r="H117" i="8" s="1"/>
  <c r="J117" i="8" s="1"/>
  <c r="AD44" i="4"/>
  <c r="N61" i="4"/>
  <c r="H57" i="8" s="1"/>
  <c r="J57" i="8" s="1"/>
  <c r="W155" i="4"/>
  <c r="U26" i="4"/>
  <c r="V44" i="4"/>
  <c r="T58" i="4"/>
  <c r="J54" i="5" s="1"/>
  <c r="U50" i="4"/>
  <c r="N14" i="4"/>
  <c r="H10" i="8" s="1"/>
  <c r="J10" i="8" s="1"/>
  <c r="N74" i="4"/>
  <c r="H70" i="8" s="1"/>
  <c r="J70" i="8" s="1"/>
  <c r="X67" i="4"/>
  <c r="AB103" i="4"/>
  <c r="I11" i="2"/>
  <c r="N107" i="4"/>
  <c r="H103" i="8" s="1"/>
  <c r="J103" i="8" s="1"/>
  <c r="G24" i="6"/>
  <c r="U110" i="4"/>
  <c r="AB109" i="4"/>
  <c r="V19" i="4"/>
  <c r="K14" i="2"/>
  <c r="AE10" i="4"/>
  <c r="AE79" i="4"/>
  <c r="AB13" i="4"/>
  <c r="W107" i="4"/>
  <c r="AC86" i="4"/>
  <c r="T82" i="4"/>
  <c r="J78" i="5" s="1"/>
  <c r="M36" i="4"/>
  <c r="B32" i="8" s="1"/>
  <c r="D32" i="8" s="1"/>
  <c r="AC32" i="4"/>
  <c r="AC65" i="4"/>
  <c r="Z18" i="4"/>
  <c r="AF82" i="4"/>
  <c r="F78" i="7" s="1"/>
  <c r="N30" i="4"/>
  <c r="H26" i="8" s="1"/>
  <c r="J26" i="8" s="1"/>
  <c r="T74" i="4"/>
  <c r="J70" i="5" s="1"/>
  <c r="P118" i="4"/>
  <c r="I114" i="8" s="1"/>
  <c r="Z96" i="4"/>
  <c r="X86" i="4"/>
  <c r="P68" i="4"/>
  <c r="I64" i="8" s="1"/>
  <c r="AF52" i="4"/>
  <c r="F48" i="7" s="1"/>
  <c r="T78" i="4"/>
  <c r="J74" i="5" s="1"/>
  <c r="Z115" i="4"/>
  <c r="M17" i="2"/>
  <c r="Z82" i="4"/>
  <c r="M23" i="2"/>
  <c r="M11" i="2"/>
  <c r="P84" i="4"/>
  <c r="I80" i="8" s="1"/>
  <c r="Z12" i="4"/>
  <c r="AF102" i="4"/>
  <c r="F98" i="7" s="1"/>
  <c r="AA99" i="4"/>
  <c r="L95" i="7" s="1"/>
  <c r="X149" i="4"/>
  <c r="Y45" i="4"/>
  <c r="H41" i="7" s="1"/>
  <c r="T31" i="4"/>
  <c r="J27" i="5" s="1"/>
  <c r="Y83" i="4"/>
  <c r="P112" i="4"/>
  <c r="I108" i="8" s="1"/>
  <c r="X72" i="4"/>
  <c r="O63" i="4"/>
  <c r="C59" i="8" s="1"/>
  <c r="AE126" i="4"/>
  <c r="AB156" i="4"/>
  <c r="X75" i="4"/>
  <c r="G92" i="6"/>
  <c r="L8" i="2"/>
  <c r="X105" i="4"/>
  <c r="X157" i="4"/>
  <c r="O138" i="4"/>
  <c r="C134" i="8" s="1"/>
  <c r="AC52" i="4"/>
  <c r="W77" i="4"/>
  <c r="W122" i="4"/>
  <c r="X113" i="4"/>
  <c r="X68" i="4"/>
  <c r="W37" i="4"/>
  <c r="T155" i="4"/>
  <c r="J151" i="5" s="1"/>
  <c r="AB81" i="4"/>
  <c r="W21" i="4"/>
  <c r="P154" i="4"/>
  <c r="I150" i="8" s="1"/>
  <c r="C7" i="2"/>
  <c r="AD76" i="4"/>
  <c r="U74" i="4"/>
  <c r="T55" i="4"/>
  <c r="J51" i="5" s="1"/>
  <c r="Y144" i="4"/>
  <c r="AB143" i="4"/>
  <c r="AF57" i="4"/>
  <c r="F53" i="7" s="1"/>
  <c r="AF145" i="4"/>
  <c r="F141" i="7" s="1"/>
  <c r="K25" i="2"/>
  <c r="M66" i="4"/>
  <c r="B62" i="8" s="1"/>
  <c r="D62" i="8" s="1"/>
  <c r="E13" i="2"/>
  <c r="T105" i="4"/>
  <c r="J101" i="5" s="1"/>
  <c r="AC56" i="4"/>
  <c r="N106" i="4"/>
  <c r="H102" i="8" s="1"/>
  <c r="J102" i="8" s="1"/>
  <c r="AE135" i="4"/>
  <c r="AC39" i="4"/>
  <c r="Y47" i="4"/>
  <c r="H43" i="7" s="1"/>
  <c r="G47" i="6"/>
  <c r="AA67" i="4"/>
  <c r="L63" i="7" s="1"/>
  <c r="O113" i="4"/>
  <c r="C109" i="8" s="1"/>
  <c r="AC78" i="4"/>
  <c r="AF78" i="4"/>
  <c r="F74" i="7" s="1"/>
  <c r="L13" i="2"/>
  <c r="M18" i="2"/>
  <c r="X155" i="4"/>
  <c r="M86" i="4"/>
  <c r="B82" i="8" s="1"/>
  <c r="D82" i="8" s="1"/>
  <c r="AE131" i="4"/>
  <c r="AE99" i="4"/>
  <c r="U47" i="4"/>
  <c r="U77" i="4"/>
  <c r="Y78" i="4"/>
  <c r="H74" i="7" s="1"/>
  <c r="AB44" i="4"/>
  <c r="Y96" i="4"/>
  <c r="O34" i="4"/>
  <c r="C30" i="8" s="1"/>
  <c r="AE90" i="4"/>
  <c r="AE77" i="4"/>
  <c r="U52" i="4"/>
  <c r="AF56" i="4"/>
  <c r="F52" i="7" s="1"/>
  <c r="AC72" i="4"/>
  <c r="U51" i="4"/>
  <c r="N43" i="4"/>
  <c r="H39" i="8" s="1"/>
  <c r="J39" i="8" s="1"/>
  <c r="AD12" i="4"/>
  <c r="M50" i="4"/>
  <c r="B46" i="8" s="1"/>
  <c r="D46" i="8" s="1"/>
  <c r="O22" i="4"/>
  <c r="C18" i="8" s="1"/>
  <c r="W158" i="4"/>
  <c r="O52" i="4"/>
  <c r="C48" i="8" s="1"/>
  <c r="Y129" i="4"/>
  <c r="AC139" i="4"/>
  <c r="Y29" i="4"/>
  <c r="H25" i="7" s="1"/>
  <c r="N55" i="4"/>
  <c r="H51" i="8" s="1"/>
  <c r="J51" i="8" s="1"/>
  <c r="V149" i="4"/>
  <c r="Y74" i="4"/>
  <c r="H70" i="7" s="1"/>
  <c r="M107" i="4"/>
  <c r="B103" i="8" s="1"/>
  <c r="D103" i="8" s="1"/>
  <c r="W81" i="4"/>
  <c r="U158" i="4"/>
  <c r="W119" i="4"/>
  <c r="V14" i="4"/>
  <c r="AD89" i="4"/>
  <c r="V26" i="4"/>
  <c r="O68" i="4"/>
  <c r="C64" i="8" s="1"/>
  <c r="W25" i="4"/>
  <c r="W99" i="4"/>
  <c r="F22" i="2"/>
  <c r="J7" i="2"/>
  <c r="U19" i="4"/>
  <c r="H24" i="2"/>
  <c r="T156" i="4"/>
  <c r="J152" i="5" s="1"/>
  <c r="AB49" i="4"/>
  <c r="K45" i="7" s="1"/>
  <c r="M35" i="4"/>
  <c r="B31" i="8" s="1"/>
  <c r="D31" i="8" s="1"/>
  <c r="P85" i="4"/>
  <c r="I81" i="8" s="1"/>
  <c r="H17" i="2"/>
  <c r="O134" i="4"/>
  <c r="C130" i="8" s="1"/>
  <c r="N146" i="4"/>
  <c r="H142" i="8" s="1"/>
  <c r="J142" i="8" s="1"/>
  <c r="AE82" i="4"/>
  <c r="X37" i="4"/>
  <c r="V159" i="4"/>
  <c r="Y77" i="4"/>
  <c r="AA16" i="4"/>
  <c r="L12" i="7" s="1"/>
  <c r="AC61" i="4"/>
  <c r="AF94" i="4"/>
  <c r="F90" i="7" s="1"/>
  <c r="F93" i="6"/>
  <c r="E93" i="6"/>
  <c r="L22" i="2"/>
  <c r="C10" i="2"/>
  <c r="AF28" i="4"/>
  <c r="F24" i="7" s="1"/>
  <c r="AA15" i="4"/>
  <c r="L11" i="7" s="1"/>
  <c r="C18" i="2"/>
  <c r="N155" i="4"/>
  <c r="H151" i="8" s="1"/>
  <c r="J151" i="8" s="1"/>
  <c r="Z13" i="4"/>
  <c r="AA52" i="4"/>
  <c r="L48" i="7" s="1"/>
  <c r="T103" i="4"/>
  <c r="J99" i="5" s="1"/>
  <c r="E71" i="6"/>
  <c r="F71" i="6"/>
  <c r="T45" i="4"/>
  <c r="J41" i="5" s="1"/>
  <c r="X57" i="4"/>
  <c r="V71" i="4"/>
  <c r="AB101" i="4"/>
  <c r="O40" i="4"/>
  <c r="C36" i="8" s="1"/>
  <c r="P16" i="4"/>
  <c r="I12" i="8" s="1"/>
  <c r="AC53" i="4"/>
  <c r="AD155" i="4"/>
  <c r="AA157" i="4"/>
  <c r="L153" i="7" s="1"/>
  <c r="V99" i="4"/>
  <c r="T20" i="4"/>
  <c r="J16" i="5" s="1"/>
  <c r="W58" i="4"/>
  <c r="AD30" i="4"/>
  <c r="AB71" i="4"/>
  <c r="AF155" i="4"/>
  <c r="F151" i="7" s="1"/>
  <c r="W78" i="4"/>
  <c r="AF99" i="4"/>
  <c r="F95" i="7" s="1"/>
  <c r="AD41" i="4"/>
  <c r="U45" i="4"/>
  <c r="AD78" i="4"/>
  <c r="V96" i="4"/>
  <c r="Y24" i="4"/>
  <c r="J15" i="2"/>
  <c r="AD137" i="4"/>
  <c r="N29" i="4"/>
  <c r="H25" i="8" s="1"/>
  <c r="J25" i="8" s="1"/>
  <c r="AC135" i="4"/>
  <c r="AD60" i="4"/>
  <c r="X19" i="4"/>
  <c r="G69" i="6"/>
  <c r="U144" i="4"/>
  <c r="N13" i="4"/>
  <c r="H9" i="8" s="1"/>
  <c r="J9" i="8" s="1"/>
  <c r="N57" i="4"/>
  <c r="H53" i="8" s="1"/>
  <c r="J53" i="8" s="1"/>
  <c r="Z52" i="4"/>
  <c r="AA75" i="4"/>
  <c r="L71" i="7" s="1"/>
  <c r="O43" i="4"/>
  <c r="C39" i="8" s="1"/>
  <c r="Z109" i="4"/>
  <c r="AA8" i="4"/>
  <c r="L4" i="7" s="1"/>
  <c r="W62" i="4"/>
  <c r="E6" i="2"/>
  <c r="X143" i="4"/>
  <c r="P114" i="4"/>
  <c r="I110" i="8" s="1"/>
  <c r="O27" i="4"/>
  <c r="C23" i="8" s="1"/>
  <c r="C14" i="2"/>
  <c r="AF97" i="4"/>
  <c r="F93" i="7" s="1"/>
  <c r="AE91" i="4"/>
  <c r="AA45" i="4"/>
  <c r="L41" i="7" s="1"/>
  <c r="AF72" i="4"/>
  <c r="F68" i="7" s="1"/>
  <c r="N120" i="4"/>
  <c r="H116" i="8" s="1"/>
  <c r="J116" i="8" s="1"/>
  <c r="AA149" i="4"/>
  <c r="L145" i="7" s="1"/>
  <c r="U133" i="4"/>
  <c r="Z103" i="4"/>
  <c r="P136" i="4"/>
  <c r="I132" i="8" s="1"/>
  <c r="AA106" i="4"/>
  <c r="L102" i="7" s="1"/>
  <c r="AD126" i="4"/>
  <c r="Z147" i="4"/>
  <c r="P70" i="4"/>
  <c r="I66" i="8" s="1"/>
  <c r="N8" i="4"/>
  <c r="H4" i="8" s="1"/>
  <c r="J4" i="8" s="1"/>
  <c r="AA38" i="4"/>
  <c r="L34" i="7" s="1"/>
  <c r="AC116" i="4"/>
  <c r="T19" i="4"/>
  <c r="J15" i="5" s="1"/>
  <c r="AD81" i="4"/>
  <c r="T135" i="4"/>
  <c r="J131" i="5" s="1"/>
  <c r="AD79" i="4"/>
  <c r="D7" i="2"/>
  <c r="AD59" i="4"/>
  <c r="V63" i="4"/>
  <c r="Z75" i="4"/>
  <c r="Y75" i="4"/>
  <c r="X120" i="4"/>
  <c r="O61" i="4"/>
  <c r="C57" i="8" s="1"/>
  <c r="AB118" i="4"/>
  <c r="K114" i="7" s="1"/>
  <c r="AE16" i="4"/>
  <c r="AD96" i="4"/>
  <c r="N151" i="4"/>
  <c r="H147" i="8" s="1"/>
  <c r="J147" i="8" s="1"/>
  <c r="L21" i="2"/>
  <c r="X132" i="4"/>
  <c r="Y142" i="4"/>
  <c r="X39" i="4"/>
  <c r="L6" i="2"/>
  <c r="AA32" i="4"/>
  <c r="L28" i="7" s="1"/>
  <c r="Y107" i="4"/>
  <c r="H103" i="7" s="1"/>
  <c r="AC64" i="4"/>
  <c r="N45" i="4"/>
  <c r="H41" i="8" s="1"/>
  <c r="J41" i="8" s="1"/>
  <c r="F20" i="6"/>
  <c r="E20" i="6"/>
  <c r="J16" i="2"/>
  <c r="K15" i="2"/>
  <c r="AD87" i="4"/>
  <c r="Z9" i="4"/>
  <c r="V43" i="4"/>
  <c r="U39" i="4"/>
  <c r="U57" i="4"/>
  <c r="P77" i="4"/>
  <c r="I73" i="8" s="1"/>
  <c r="E70" i="6"/>
  <c r="F70" i="6"/>
  <c r="AF51" i="4"/>
  <c r="F47" i="7" s="1"/>
  <c r="N11" i="4"/>
  <c r="H7" i="8" s="1"/>
  <c r="J7" i="8" s="1"/>
  <c r="AC83" i="4"/>
  <c r="X148" i="4"/>
  <c r="AC54" i="4"/>
  <c r="Y73" i="4"/>
  <c r="AB14" i="4"/>
  <c r="M141" i="4"/>
  <c r="B137" i="8" s="1"/>
  <c r="D137" i="8" s="1"/>
  <c r="U35" i="4"/>
  <c r="F67" i="6"/>
  <c r="E67" i="6"/>
  <c r="AE33" i="4"/>
  <c r="T67" i="4"/>
  <c r="J63" i="5" s="1"/>
  <c r="P104" i="4"/>
  <c r="I100" i="8" s="1"/>
  <c r="O39" i="4"/>
  <c r="C35" i="8" s="1"/>
  <c r="N40" i="4"/>
  <c r="H36" i="8" s="1"/>
  <c r="J36" i="8" s="1"/>
  <c r="V123" i="4"/>
  <c r="N118" i="4"/>
  <c r="H114" i="8" s="1"/>
  <c r="J114" i="8" s="1"/>
  <c r="AB104" i="4"/>
  <c r="T71" i="4"/>
  <c r="J67" i="5" s="1"/>
  <c r="W9" i="4"/>
  <c r="Y121" i="4"/>
  <c r="G154" i="6"/>
  <c r="V137" i="4"/>
  <c r="O85" i="4"/>
  <c r="C81" i="8" s="1"/>
  <c r="Y124" i="4"/>
  <c r="C24" i="2"/>
  <c r="L4" i="2"/>
  <c r="W33" i="4"/>
  <c r="T142" i="4"/>
  <c r="J138" i="5" s="1"/>
  <c r="AB85" i="4"/>
  <c r="K81" i="7" s="1"/>
  <c r="T76" i="4"/>
  <c r="J72" i="5" s="1"/>
  <c r="N10" i="4"/>
  <c r="H6" i="8" s="1"/>
  <c r="J6" i="8" s="1"/>
  <c r="AD53" i="4"/>
  <c r="G6" i="6"/>
  <c r="P123" i="4"/>
  <c r="I119" i="8" s="1"/>
  <c r="U120" i="4"/>
  <c r="F28" i="6"/>
  <c r="E28" i="6"/>
  <c r="Y92" i="4"/>
  <c r="P146" i="4"/>
  <c r="I142" i="8" s="1"/>
  <c r="F3" i="6"/>
  <c r="E3" i="6"/>
  <c r="O71" i="4"/>
  <c r="C67" i="8" s="1"/>
  <c r="Y41" i="4"/>
  <c r="H37" i="7" s="1"/>
  <c r="T134" i="4"/>
  <c r="J130" i="5" s="1"/>
  <c r="G142" i="6"/>
  <c r="AD63" i="4"/>
  <c r="AE157" i="4"/>
  <c r="AE17" i="4"/>
  <c r="E13" i="7" s="1"/>
  <c r="AF19" i="4"/>
  <c r="F15" i="7" s="1"/>
  <c r="AA78" i="4"/>
  <c r="L74" i="7" s="1"/>
  <c r="AA82" i="4"/>
  <c r="L78" i="7" s="1"/>
  <c r="Z77" i="4"/>
  <c r="AB51" i="4"/>
  <c r="K47" i="7" s="1"/>
  <c r="AC20" i="4"/>
  <c r="M81" i="4"/>
  <c r="B77" i="8" s="1"/>
  <c r="D77" i="8" s="1"/>
  <c r="M152" i="4"/>
  <c r="B148" i="8" s="1"/>
  <c r="D148" i="8" s="1"/>
  <c r="E113" i="6"/>
  <c r="F113" i="6"/>
  <c r="Z31" i="4"/>
  <c r="AE104" i="4"/>
  <c r="U83" i="4"/>
  <c r="P109" i="4"/>
  <c r="I105" i="8" s="1"/>
  <c r="Y54" i="4"/>
  <c r="W128" i="4"/>
  <c r="U72" i="4"/>
  <c r="W13" i="4"/>
  <c r="W12" i="4"/>
  <c r="M133" i="4"/>
  <c r="B129" i="8" s="1"/>
  <c r="D129" i="8" s="1"/>
  <c r="U70" i="4"/>
  <c r="V8" i="4"/>
  <c r="X60" i="4"/>
  <c r="W20" i="4"/>
  <c r="O122" i="4"/>
  <c r="C118" i="8" s="1"/>
  <c r="O158" i="4"/>
  <c r="C154" i="8" s="1"/>
  <c r="Y112" i="4"/>
  <c r="P133" i="4"/>
  <c r="I129" i="8" s="1"/>
  <c r="AA20" i="4"/>
  <c r="L16" i="7" s="1"/>
  <c r="AB136" i="4"/>
  <c r="V93" i="4"/>
  <c r="V45" i="4"/>
  <c r="M58" i="4"/>
  <c r="B54" i="8" s="1"/>
  <c r="D54" i="8" s="1"/>
  <c r="F16" i="2"/>
  <c r="X141" i="4"/>
  <c r="F8" i="2"/>
  <c r="W51" i="4"/>
  <c r="AF113" i="4"/>
  <c r="F109" i="7" s="1"/>
  <c r="AC77" i="4"/>
  <c r="P39" i="4"/>
  <c r="I35" i="8" s="1"/>
  <c r="O105" i="4"/>
  <c r="C101" i="8" s="1"/>
  <c r="AA17" i="4"/>
  <c r="L13" i="7" s="1"/>
  <c r="AC79" i="4"/>
  <c r="G21" i="2"/>
  <c r="AD157" i="4"/>
  <c r="G67" i="6"/>
  <c r="W156" i="4"/>
  <c r="N117" i="4"/>
  <c r="H113" i="8" s="1"/>
  <c r="J113" i="8" s="1"/>
  <c r="G79" i="6"/>
  <c r="M31" i="4"/>
  <c r="B27" i="8" s="1"/>
  <c r="D27" i="8" s="1"/>
  <c r="W50" i="4"/>
  <c r="V22" i="4"/>
  <c r="F7" i="2"/>
  <c r="AD28" i="4"/>
  <c r="F112" i="6"/>
  <c r="E112" i="6"/>
  <c r="X109" i="4"/>
  <c r="Y97" i="4"/>
  <c r="T60" i="4"/>
  <c r="J56" i="5" s="1"/>
  <c r="AA51" i="4"/>
  <c r="L47" i="7" s="1"/>
  <c r="AB45" i="4"/>
  <c r="AF127" i="4"/>
  <c r="F123" i="7" s="1"/>
  <c r="AD19" i="4"/>
  <c r="T24" i="4"/>
  <c r="J20" i="5" s="1"/>
  <c r="V126" i="4"/>
  <c r="X76" i="4"/>
  <c r="M47" i="4"/>
  <c r="B43" i="8" s="1"/>
  <c r="D43" i="8" s="1"/>
  <c r="M91" i="4"/>
  <c r="B87" i="8" s="1"/>
  <c r="D87" i="8" s="1"/>
  <c r="T125" i="4"/>
  <c r="J121" i="5" s="1"/>
  <c r="AA21" i="4"/>
  <c r="L17" i="7" s="1"/>
  <c r="M119" i="4"/>
  <c r="B115" i="8" s="1"/>
  <c r="D115" i="8" s="1"/>
  <c r="AF50" i="4"/>
  <c r="F46" i="7" s="1"/>
  <c r="AA122" i="4"/>
  <c r="L118" i="7" s="1"/>
  <c r="M154" i="4"/>
  <c r="B150" i="8" s="1"/>
  <c r="D150" i="8" s="1"/>
  <c r="AC37" i="4"/>
  <c r="M19" i="4"/>
  <c r="B15" i="8" s="1"/>
  <c r="D15" i="8" s="1"/>
  <c r="AC105" i="4"/>
  <c r="AC128" i="4"/>
  <c r="AD108" i="4"/>
  <c r="V9" i="4"/>
  <c r="F12" i="6"/>
  <c r="E12" i="6"/>
  <c r="X12" i="4"/>
  <c r="AF108" i="4"/>
  <c r="F104" i="7" s="1"/>
  <c r="AA116" i="4"/>
  <c r="L112" i="7" s="1"/>
  <c r="P78" i="4"/>
  <c r="I74" i="8" s="1"/>
  <c r="M22" i="2"/>
  <c r="F39" i="6"/>
  <c r="E39" i="6"/>
  <c r="L14" i="2"/>
  <c r="X97" i="4"/>
  <c r="H5" i="2"/>
  <c r="W141" i="4"/>
  <c r="P119" i="4"/>
  <c r="I115" i="8" s="1"/>
  <c r="G82" i="6"/>
  <c r="AB129" i="4"/>
  <c r="AD40" i="4"/>
  <c r="AD148" i="4"/>
  <c r="J3" i="2"/>
  <c r="AD64" i="4"/>
  <c r="AA121" i="4"/>
  <c r="L117" i="7" s="1"/>
  <c r="F148" i="6"/>
  <c r="E148" i="6"/>
  <c r="AF23" i="4"/>
  <c r="F19" i="7" s="1"/>
  <c r="C4" i="2"/>
  <c r="Y119" i="4"/>
  <c r="V30" i="4"/>
  <c r="W54" i="4"/>
  <c r="AC30" i="4"/>
  <c r="AF66" i="4"/>
  <c r="F62" i="7" s="1"/>
  <c r="G146" i="6"/>
  <c r="AC133" i="4"/>
  <c r="V36" i="4"/>
  <c r="O115" i="4"/>
  <c r="C111" i="8" s="1"/>
  <c r="AE30" i="4"/>
  <c r="AD129" i="4"/>
  <c r="AC59" i="4"/>
  <c r="AE84" i="4"/>
  <c r="E80" i="7" s="1"/>
  <c r="M69" i="4"/>
  <c r="B65" i="8" s="1"/>
  <c r="D65" i="8" s="1"/>
  <c r="P156" i="4"/>
  <c r="I152" i="8" s="1"/>
  <c r="AD86" i="4"/>
  <c r="N15" i="4"/>
  <c r="H11" i="8" s="1"/>
  <c r="J11" i="8" s="1"/>
  <c r="F10" i="2"/>
  <c r="T53" i="4"/>
  <c r="J49" i="5" s="1"/>
  <c r="W113" i="4"/>
  <c r="W48" i="4"/>
  <c r="M61" i="4"/>
  <c r="B57" i="8" s="1"/>
  <c r="D57" i="8" s="1"/>
  <c r="V75" i="4"/>
  <c r="M113" i="4"/>
  <c r="B109" i="8" s="1"/>
  <c r="D109" i="8" s="1"/>
  <c r="AB106" i="4"/>
  <c r="K102" i="7" s="1"/>
  <c r="H21" i="2"/>
  <c r="AD136" i="4"/>
  <c r="Z27" i="4"/>
  <c r="AF31" i="4"/>
  <c r="F27" i="7" s="1"/>
  <c r="AF9" i="4"/>
  <c r="F5" i="7" s="1"/>
  <c r="T112" i="4"/>
  <c r="J108" i="5" s="1"/>
  <c r="AC48" i="4"/>
  <c r="F110" i="6"/>
  <c r="E110" i="6"/>
  <c r="W130" i="4"/>
  <c r="AA39" i="4"/>
  <c r="L35" i="7" s="1"/>
  <c r="AE51" i="4"/>
  <c r="E47" i="7" s="1"/>
  <c r="AD66" i="4"/>
  <c r="N101" i="4"/>
  <c r="H97" i="8" s="1"/>
  <c r="J97" i="8" s="1"/>
  <c r="AF12" i="4"/>
  <c r="F8" i="7" s="1"/>
  <c r="AA59" i="4"/>
  <c r="L55" i="7" s="1"/>
  <c r="D9" i="2"/>
  <c r="V39" i="4"/>
  <c r="P93" i="4"/>
  <c r="I89" i="8" s="1"/>
  <c r="X55" i="4"/>
  <c r="Y44" i="4"/>
  <c r="M137" i="4"/>
  <c r="B133" i="8" s="1"/>
  <c r="D133" i="8" s="1"/>
  <c r="T147" i="4"/>
  <c r="J143" i="5" s="1"/>
  <c r="Z108" i="4"/>
  <c r="F72" i="6"/>
  <c r="E72" i="6"/>
  <c r="W18" i="4"/>
  <c r="AC125" i="4"/>
  <c r="M28" i="4"/>
  <c r="B24" i="8" s="1"/>
  <c r="D24" i="8" s="1"/>
  <c r="AF119" i="4"/>
  <c r="F115" i="7" s="1"/>
  <c r="AA123" i="4"/>
  <c r="L119" i="7" s="1"/>
  <c r="Y30" i="4"/>
  <c r="AE102" i="4"/>
  <c r="E98" i="7" s="1"/>
  <c r="C13" i="2"/>
  <c r="O142" i="4"/>
  <c r="C138" i="8" s="1"/>
  <c r="G36" i="6"/>
  <c r="AB46" i="4"/>
  <c r="H23" i="2"/>
  <c r="T115" i="4"/>
  <c r="J111" i="5" s="1"/>
  <c r="T21" i="4"/>
  <c r="J17" i="5" s="1"/>
  <c r="AE34" i="4"/>
  <c r="E30" i="7" s="1"/>
  <c r="O60" i="4"/>
  <c r="C56" i="8" s="1"/>
  <c r="T14" i="4"/>
  <c r="J10" i="5" s="1"/>
  <c r="M24" i="2"/>
  <c r="W80" i="4"/>
  <c r="G77" i="6"/>
  <c r="T39" i="4"/>
  <c r="J35" i="5" s="1"/>
  <c r="AF87" i="4"/>
  <c r="F83" i="7" s="1"/>
  <c r="AC38" i="4"/>
  <c r="M7" i="4"/>
  <c r="B3" i="8" s="1"/>
  <c r="U130" i="4"/>
  <c r="AF107" i="4"/>
  <c r="F103" i="7" s="1"/>
  <c r="AA64" i="4"/>
  <c r="L60" i="7" s="1"/>
  <c r="W16" i="4"/>
  <c r="N124" i="4"/>
  <c r="H120" i="8" s="1"/>
  <c r="J120" i="8" s="1"/>
  <c r="AC101" i="4"/>
  <c r="U111" i="4"/>
  <c r="T102" i="4"/>
  <c r="J98" i="5" s="1"/>
  <c r="O103" i="4"/>
  <c r="C99" i="8" s="1"/>
  <c r="W124" i="4"/>
  <c r="M72" i="4"/>
  <c r="B68" i="8" s="1"/>
  <c r="D68" i="8" s="1"/>
  <c r="M9" i="4"/>
  <c r="B5" i="8" s="1"/>
  <c r="D5" i="8" s="1"/>
  <c r="Z44" i="4"/>
  <c r="AA101" i="4"/>
  <c r="L97" i="7" s="1"/>
  <c r="AE106" i="4"/>
  <c r="AE60" i="4"/>
  <c r="X78" i="4"/>
  <c r="O106" i="4"/>
  <c r="C102" i="8" s="1"/>
  <c r="M146" i="4"/>
  <c r="B142" i="8" s="1"/>
  <c r="D142" i="8" s="1"/>
  <c r="P17" i="4"/>
  <c r="I13" i="8" s="1"/>
  <c r="Z86" i="4"/>
  <c r="P151" i="4"/>
  <c r="I147" i="8" s="1"/>
  <c r="M7" i="2"/>
  <c r="AC145" i="4"/>
  <c r="V20" i="4"/>
  <c r="Z19" i="4"/>
  <c r="AB70" i="4"/>
  <c r="AF101" i="4"/>
  <c r="F97" i="7" s="1"/>
  <c r="AC76" i="4"/>
  <c r="T79" i="4"/>
  <c r="J75" i="5" s="1"/>
  <c r="U54" i="4"/>
  <c r="W125" i="4"/>
  <c r="AF59" i="4"/>
  <c r="F55" i="7" s="1"/>
  <c r="AA12" i="4"/>
  <c r="L8" i="7" s="1"/>
  <c r="AA135" i="4"/>
  <c r="L131" i="7" s="1"/>
  <c r="Z127" i="4"/>
  <c r="AD106" i="4"/>
  <c r="M129" i="4"/>
  <c r="B125" i="8" s="1"/>
  <c r="D125" i="8" s="1"/>
  <c r="AA150" i="4"/>
  <c r="L146" i="7" s="1"/>
  <c r="T121" i="4"/>
  <c r="J117" i="5" s="1"/>
  <c r="L3" i="2"/>
  <c r="AA129" i="4"/>
  <c r="L125" i="7" s="1"/>
  <c r="X14" i="4"/>
  <c r="Z128" i="4"/>
  <c r="Z26" i="4"/>
  <c r="AE97" i="4"/>
  <c r="E93" i="7" s="1"/>
  <c r="Z126" i="4"/>
  <c r="AF117" i="4"/>
  <c r="F113" i="7" s="1"/>
  <c r="U125" i="4"/>
  <c r="AB30" i="4"/>
  <c r="X54" i="4"/>
  <c r="W89" i="4"/>
  <c r="AC66" i="4"/>
  <c r="O50" i="4"/>
  <c r="C46" i="8" s="1"/>
  <c r="V67" i="4"/>
  <c r="AD46" i="4"/>
  <c r="O108" i="4"/>
  <c r="C104" i="8" s="1"/>
  <c r="O99" i="4"/>
  <c r="C95" i="8" s="1"/>
  <c r="AF122" i="4"/>
  <c r="F118" i="7" s="1"/>
  <c r="P27" i="4"/>
  <c r="I23" i="8" s="1"/>
  <c r="M20" i="2"/>
  <c r="U16" i="4"/>
  <c r="AA65" i="4"/>
  <c r="L61" i="7" s="1"/>
  <c r="AB141" i="4"/>
  <c r="M73" i="4"/>
  <c r="B69" i="8" s="1"/>
  <c r="D69" i="8" s="1"/>
  <c r="N86" i="4"/>
  <c r="H82" i="8" s="1"/>
  <c r="J82" i="8" s="1"/>
  <c r="X59" i="4"/>
  <c r="O150" i="4"/>
  <c r="C146" i="8" s="1"/>
  <c r="Y60" i="4"/>
  <c r="H56" i="7" s="1"/>
  <c r="AC22" i="4"/>
  <c r="AA143" i="4"/>
  <c r="L139" i="7" s="1"/>
  <c r="Y110" i="4"/>
  <c r="Z87" i="4"/>
  <c r="AB12" i="4"/>
  <c r="O121" i="4"/>
  <c r="C117" i="8" s="1"/>
  <c r="T77" i="4"/>
  <c r="J73" i="5" s="1"/>
  <c r="F107" i="6"/>
  <c r="E107" i="6"/>
  <c r="W17" i="4"/>
  <c r="N144" i="4"/>
  <c r="H140" i="8" s="1"/>
  <c r="J140" i="8" s="1"/>
  <c r="F83" i="6"/>
  <c r="E83" i="6"/>
  <c r="K4" i="2"/>
  <c r="G97" i="6"/>
  <c r="V40" i="4"/>
  <c r="K13" i="2"/>
  <c r="V157" i="4"/>
  <c r="O33" i="4"/>
  <c r="C29" i="8" s="1"/>
  <c r="AF13" i="4"/>
  <c r="F9" i="7" s="1"/>
  <c r="Y20" i="4"/>
  <c r="G81" i="6"/>
  <c r="W90" i="4"/>
  <c r="AF70" i="4"/>
  <c r="F66" i="7" s="1"/>
  <c r="Y21" i="4"/>
  <c r="Z21" i="4"/>
  <c r="AB17" i="4"/>
  <c r="E8" i="2"/>
  <c r="AE37" i="4"/>
  <c r="T38" i="4"/>
  <c r="J34" i="5" s="1"/>
  <c r="V155" i="4"/>
  <c r="N80" i="4"/>
  <c r="H76" i="8" s="1"/>
  <c r="J76" i="8" s="1"/>
  <c r="V35" i="4"/>
  <c r="AC157" i="4"/>
  <c r="AD144" i="4"/>
  <c r="AC57" i="4"/>
  <c r="X30" i="4"/>
  <c r="AE76" i="4"/>
  <c r="E72" i="7" s="1"/>
  <c r="X9" i="4"/>
  <c r="G107" i="6"/>
  <c r="Z62" i="4"/>
  <c r="G5" i="2"/>
  <c r="O91" i="4"/>
  <c r="C87" i="8" s="1"/>
  <c r="O21" i="4"/>
  <c r="C17" i="8" s="1"/>
  <c r="M42" i="4"/>
  <c r="B38" i="8" s="1"/>
  <c r="D38" i="8" s="1"/>
  <c r="AA11" i="4"/>
  <c r="L7" i="7" s="1"/>
  <c r="U22" i="4"/>
  <c r="AE149" i="4"/>
  <c r="N90" i="4"/>
  <c r="H86" i="8" s="1"/>
  <c r="J86" i="8" s="1"/>
  <c r="U121" i="4"/>
  <c r="AE145" i="4"/>
  <c r="V153" i="4"/>
  <c r="O7" i="4"/>
  <c r="C3" i="8" s="1"/>
  <c r="AE155" i="4"/>
  <c r="E151" i="7" s="1"/>
  <c r="AE120" i="4"/>
  <c r="E116" i="7" s="1"/>
  <c r="P134" i="4"/>
  <c r="I130" i="8" s="1"/>
  <c r="AB7" i="4"/>
  <c r="K3" i="7" s="1"/>
  <c r="AE62" i="4"/>
  <c r="E58" i="7" s="1"/>
  <c r="J22" i="2"/>
  <c r="Y57" i="4"/>
  <c r="AE13" i="4"/>
  <c r="U103" i="4"/>
  <c r="T26" i="4"/>
  <c r="J22" i="5" s="1"/>
  <c r="AE73" i="4"/>
  <c r="AB73" i="4"/>
  <c r="K69" i="7" s="1"/>
  <c r="AC88" i="4"/>
  <c r="Y48" i="4"/>
  <c r="V88" i="4"/>
  <c r="V128" i="4"/>
  <c r="AC119" i="4"/>
  <c r="Y99" i="4"/>
  <c r="AE44" i="4"/>
  <c r="X144" i="4"/>
  <c r="F30" i="6"/>
  <c r="E30" i="6"/>
  <c r="AA107" i="4"/>
  <c r="L103" i="7" s="1"/>
  <c r="N85" i="4"/>
  <c r="H81" i="8" s="1"/>
  <c r="J81" i="8" s="1"/>
  <c r="X70" i="4"/>
  <c r="AE144" i="4"/>
  <c r="T97" i="4"/>
  <c r="J93" i="5" s="1"/>
  <c r="U56" i="4"/>
  <c r="U137" i="4"/>
  <c r="F100" i="6"/>
  <c r="E100" i="6"/>
  <c r="X43" i="4"/>
  <c r="U93" i="4"/>
  <c r="AA40" i="4"/>
  <c r="L36" i="7" s="1"/>
  <c r="X42" i="4"/>
  <c r="AF120" i="4"/>
  <c r="F116" i="7" s="1"/>
  <c r="AB38" i="4"/>
  <c r="K34" i="7" s="1"/>
  <c r="M60" i="4"/>
  <c r="B56" i="8" s="1"/>
  <c r="D56" i="8" s="1"/>
  <c r="Y37" i="4"/>
  <c r="H33" i="7" s="1"/>
  <c r="O90" i="4"/>
  <c r="C86" i="8" s="1"/>
  <c r="AD124" i="4"/>
  <c r="Y155" i="4"/>
  <c r="P129" i="4"/>
  <c r="I125" i="8" s="1"/>
  <c r="U140" i="4"/>
  <c r="AC11" i="4"/>
  <c r="P103" i="4"/>
  <c r="I99" i="8" s="1"/>
  <c r="I13" i="2"/>
  <c r="Z123" i="4"/>
  <c r="G8" i="2"/>
  <c r="AB117" i="4"/>
  <c r="F132" i="6"/>
  <c r="E132" i="6"/>
  <c r="E78" i="6"/>
  <c r="F78" i="6"/>
  <c r="AA72" i="4"/>
  <c r="L68" i="7" s="1"/>
  <c r="AA154" i="4"/>
  <c r="L150" i="7" s="1"/>
  <c r="M12" i="4"/>
  <c r="B8" i="8" s="1"/>
  <c r="D8" i="8" s="1"/>
  <c r="AF80" i="4"/>
  <c r="F76" i="7" s="1"/>
  <c r="P72" i="4"/>
  <c r="I68" i="8" s="1"/>
  <c r="AF135" i="4"/>
  <c r="F131" i="7" s="1"/>
  <c r="N21" i="4"/>
  <c r="H17" i="8" s="1"/>
  <c r="J17" i="8" s="1"/>
  <c r="Y108" i="4"/>
  <c r="N48" i="4"/>
  <c r="H44" i="8" s="1"/>
  <c r="J44" i="8" s="1"/>
  <c r="G32" i="6"/>
  <c r="V66" i="4"/>
  <c r="U20" i="4"/>
  <c r="P41" i="4"/>
  <c r="I37" i="8" s="1"/>
  <c r="AB9" i="4"/>
  <c r="K5" i="7" s="1"/>
  <c r="E46" i="6"/>
  <c r="F46" i="6"/>
  <c r="AC115" i="4"/>
  <c r="Z93" i="4"/>
  <c r="AB23" i="4"/>
  <c r="M40" i="4"/>
  <c r="B36" i="8" s="1"/>
  <c r="D36" i="8" s="1"/>
  <c r="AF40" i="4"/>
  <c r="F36" i="7" s="1"/>
  <c r="N145" i="4"/>
  <c r="H141" i="8" s="1"/>
  <c r="J141" i="8" s="1"/>
  <c r="Z49" i="4"/>
  <c r="Z33" i="4"/>
  <c r="K21" i="2"/>
  <c r="V130" i="4"/>
  <c r="AB124" i="4"/>
  <c r="AE59" i="4"/>
  <c r="E55" i="7" s="1"/>
  <c r="V79" i="4"/>
  <c r="G145" i="6"/>
  <c r="O153" i="4"/>
  <c r="C149" i="8" s="1"/>
  <c r="T59" i="4"/>
  <c r="J55" i="5" s="1"/>
  <c r="AF98" i="4"/>
  <c r="F94" i="7" s="1"/>
  <c r="N47" i="4"/>
  <c r="H43" i="8" s="1"/>
  <c r="J43" i="8" s="1"/>
  <c r="AE119" i="4"/>
  <c r="AB119" i="4"/>
  <c r="G4" i="2"/>
  <c r="W120" i="4"/>
  <c r="T92" i="4"/>
  <c r="J88" i="5" s="1"/>
  <c r="F130" i="6"/>
  <c r="E130" i="6"/>
  <c r="AE87" i="4"/>
  <c r="E83" i="7" s="1"/>
  <c r="Y42" i="4"/>
  <c r="H38" i="7" s="1"/>
  <c r="G3" i="6"/>
  <c r="AE136" i="4"/>
  <c r="Y81" i="4"/>
  <c r="AF20" i="4"/>
  <c r="F16" i="7" s="1"/>
  <c r="Z144" i="4"/>
  <c r="G7" i="6"/>
  <c r="V50" i="4"/>
  <c r="V107" i="4"/>
  <c r="P127" i="4"/>
  <c r="I123" i="8" s="1"/>
  <c r="AA25" i="4"/>
  <c r="L21" i="7" s="1"/>
  <c r="AC35" i="4"/>
  <c r="V145" i="4"/>
  <c r="M45" i="4"/>
  <c r="B41" i="8" s="1"/>
  <c r="D41" i="8" s="1"/>
  <c r="G105" i="6"/>
  <c r="AD33" i="4"/>
  <c r="Z92" i="4"/>
  <c r="W118" i="4"/>
  <c r="J10" i="2"/>
  <c r="X20" i="4"/>
  <c r="Z139" i="4"/>
  <c r="AB27" i="4"/>
  <c r="K23" i="7" s="1"/>
  <c r="O76" i="4"/>
  <c r="C72" i="8" s="1"/>
  <c r="O156" i="4"/>
  <c r="C152" i="8" s="1"/>
  <c r="Y52" i="4"/>
  <c r="H48" i="7" s="1"/>
  <c r="AB82" i="4"/>
  <c r="K78" i="7" s="1"/>
  <c r="M108" i="4"/>
  <c r="B104" i="8" s="1"/>
  <c r="D104" i="8" s="1"/>
  <c r="AE103" i="4"/>
  <c r="E99" i="7" s="1"/>
  <c r="AF128" i="4"/>
  <c r="F124" i="7" s="1"/>
  <c r="I3" i="2"/>
  <c r="X110" i="4"/>
  <c r="W121" i="4"/>
  <c r="AD127" i="4"/>
  <c r="U115" i="4"/>
  <c r="V41" i="4"/>
  <c r="M14" i="4"/>
  <c r="B10" i="8" s="1"/>
  <c r="D10" i="8" s="1"/>
  <c r="Z40" i="4"/>
  <c r="V109" i="4"/>
  <c r="M150" i="4"/>
  <c r="B146" i="8" s="1"/>
  <c r="D146" i="8" s="1"/>
  <c r="V92" i="4"/>
  <c r="U17" i="4"/>
  <c r="G5" i="6"/>
  <c r="T40" i="4"/>
  <c r="J36" i="5" s="1"/>
  <c r="AA144" i="4"/>
  <c r="L140" i="7" s="1"/>
  <c r="V112" i="4"/>
  <c r="Y66" i="4"/>
  <c r="H62" i="7" s="1"/>
  <c r="X17" i="4"/>
  <c r="V31" i="4"/>
  <c r="AB74" i="4"/>
  <c r="K70" i="7" s="1"/>
  <c r="AE133" i="4"/>
  <c r="Y69" i="4"/>
  <c r="H65" i="7" s="1"/>
  <c r="V46" i="4"/>
  <c r="W82" i="4"/>
  <c r="AE112" i="4"/>
  <c r="T85" i="4"/>
  <c r="J81" i="5" s="1"/>
  <c r="AF65" i="4"/>
  <c r="F61" i="7" s="1"/>
  <c r="Z11" i="4"/>
  <c r="M12" i="2"/>
  <c r="C11" i="2"/>
  <c r="O80" i="4"/>
  <c r="C76" i="8" s="1"/>
  <c r="AD22" i="4"/>
  <c r="AD36" i="4"/>
  <c r="AC12" i="4"/>
  <c r="AF109" i="4"/>
  <c r="F105" i="7" s="1"/>
  <c r="AA79" i="4"/>
  <c r="L75" i="7" s="1"/>
  <c r="AD16" i="4"/>
  <c r="E68" i="6"/>
  <c r="F68" i="6"/>
  <c r="AF68" i="4"/>
  <c r="F64" i="7" s="1"/>
  <c r="H14" i="2"/>
  <c r="U79" i="4"/>
  <c r="AC140" i="4"/>
  <c r="AC153" i="4"/>
  <c r="AB152" i="4"/>
  <c r="K148" i="7" s="1"/>
  <c r="G135" i="6"/>
  <c r="AA66" i="4"/>
  <c r="L62" i="7" s="1"/>
  <c r="AF64" i="4"/>
  <c r="F60" i="7" s="1"/>
  <c r="N44" i="4"/>
  <c r="H40" i="8" s="1"/>
  <c r="J40" i="8" s="1"/>
  <c r="Z16" i="4"/>
  <c r="O36" i="4"/>
  <c r="C32" i="8" s="1"/>
  <c r="T131" i="4"/>
  <c r="J127" i="5" s="1"/>
  <c r="AB61" i="4"/>
  <c r="P144" i="4"/>
  <c r="I140" i="8" s="1"/>
  <c r="X65" i="4"/>
  <c r="AB159" i="4"/>
  <c r="W70" i="4"/>
  <c r="G128" i="6"/>
  <c r="AE150" i="4"/>
  <c r="T123" i="4"/>
  <c r="J119" i="5" s="1"/>
  <c r="AF45" i="4"/>
  <c r="F41" i="7" s="1"/>
  <c r="X29" i="4"/>
  <c r="E138" i="6"/>
  <c r="F138" i="6"/>
  <c r="Y91" i="4"/>
  <c r="H87" i="7" s="1"/>
  <c r="AC136" i="4"/>
  <c r="AA128" i="4"/>
  <c r="L124" i="7" s="1"/>
  <c r="N159" i="4"/>
  <c r="H155" i="8" s="1"/>
  <c r="J155" i="8" s="1"/>
  <c r="K24" i="2"/>
  <c r="AD37" i="4"/>
  <c r="E117" i="6"/>
  <c r="F117" i="6"/>
  <c r="M38" i="4"/>
  <c r="B34" i="8" s="1"/>
  <c r="D34" i="8" s="1"/>
  <c r="W69" i="4"/>
  <c r="U154" i="4"/>
  <c r="E108" i="6"/>
  <c r="F108" i="6"/>
  <c r="AD125" i="4"/>
  <c r="AA158" i="4"/>
  <c r="L154" i="7" s="1"/>
  <c r="U98" i="4"/>
  <c r="W7" i="4"/>
  <c r="B3" i="7" s="1"/>
  <c r="M87" i="4"/>
  <c r="B83" i="8" s="1"/>
  <c r="D83" i="8" s="1"/>
  <c r="Z135" i="4"/>
  <c r="L10" i="2"/>
  <c r="O104" i="4"/>
  <c r="C100" i="8" s="1"/>
  <c r="W29" i="4"/>
  <c r="N32" i="4"/>
  <c r="H28" i="8" s="1"/>
  <c r="J28" i="8" s="1"/>
  <c r="W146" i="4"/>
  <c r="AD140" i="4"/>
  <c r="V133" i="4"/>
  <c r="O74" i="4"/>
  <c r="C70" i="8" s="1"/>
  <c r="Z61" i="4"/>
  <c r="N69" i="4"/>
  <c r="H65" i="8" s="1"/>
  <c r="J65" i="8" s="1"/>
  <c r="AD135" i="4"/>
  <c r="U150" i="4"/>
  <c r="AE134" i="4"/>
  <c r="U63" i="4"/>
  <c r="AB98" i="4"/>
  <c r="K94" i="7" s="1"/>
  <c r="O28" i="4"/>
  <c r="C24" i="8" s="1"/>
  <c r="V13" i="4"/>
  <c r="AC99" i="4"/>
  <c r="AF42" i="4"/>
  <c r="F38" i="7" s="1"/>
  <c r="U124" i="4"/>
  <c r="Y87" i="4"/>
  <c r="AD75" i="4"/>
  <c r="X79" i="4"/>
  <c r="Y150" i="4"/>
  <c r="K12" i="2"/>
  <c r="AE85" i="4"/>
  <c r="E81" i="7" s="1"/>
  <c r="W49" i="4"/>
  <c r="V152" i="4"/>
  <c r="F150" i="6"/>
  <c r="E150" i="6"/>
  <c r="AA94" i="4"/>
  <c r="L90" i="7" s="1"/>
  <c r="T29" i="4"/>
  <c r="J25" i="5" s="1"/>
  <c r="M16" i="4"/>
  <c r="B12" i="8" s="1"/>
  <c r="D12" i="8" s="1"/>
  <c r="I24" i="2"/>
  <c r="Y32" i="4"/>
  <c r="H28" i="7" s="1"/>
  <c r="G41" i="6"/>
  <c r="T70" i="4"/>
  <c r="J66" i="5" s="1"/>
  <c r="AD15" i="4"/>
  <c r="Z153" i="4"/>
  <c r="AD154" i="4"/>
  <c r="AD54" i="4"/>
  <c r="X13" i="4"/>
  <c r="M9" i="2"/>
  <c r="AB94" i="4"/>
  <c r="K90" i="7" s="1"/>
  <c r="F129" i="6"/>
  <c r="E129" i="6"/>
  <c r="F26" i="6"/>
  <c r="E26" i="6"/>
  <c r="AB138" i="4"/>
  <c r="AE121" i="4"/>
  <c r="E117" i="7" s="1"/>
  <c r="M11" i="4"/>
  <c r="B7" i="8" s="1"/>
  <c r="D7" i="8" s="1"/>
  <c r="F34" i="6"/>
  <c r="E34" i="6"/>
  <c r="AD112" i="4"/>
  <c r="W65" i="4"/>
  <c r="M63" i="4"/>
  <c r="B59" i="8" s="1"/>
  <c r="D59" i="8" s="1"/>
  <c r="AE100" i="4"/>
  <c r="AB92" i="4"/>
  <c r="K88" i="7" s="1"/>
  <c r="F44" i="6"/>
  <c r="E44" i="6"/>
  <c r="Y7" i="4"/>
  <c r="AB29" i="4"/>
  <c r="K25" i="7" s="1"/>
  <c r="U61" i="4"/>
  <c r="U153" i="4"/>
  <c r="G68" i="6"/>
  <c r="AA14" i="4"/>
  <c r="L10" i="7" s="1"/>
  <c r="M128" i="4"/>
  <c r="B124" i="8" s="1"/>
  <c r="D124" i="8" s="1"/>
  <c r="X147" i="4"/>
  <c r="M157" i="4"/>
  <c r="B153" i="8" s="1"/>
  <c r="D153" i="8" s="1"/>
  <c r="AB145" i="4"/>
  <c r="K141" i="7" s="1"/>
  <c r="G11" i="6"/>
  <c r="V15" i="4"/>
  <c r="AA104" i="4"/>
  <c r="L100" i="7" s="1"/>
  <c r="AF10" i="4"/>
  <c r="F6" i="7" s="1"/>
  <c r="AA46" i="4"/>
  <c r="L42" i="7" s="1"/>
  <c r="V156" i="4"/>
  <c r="AA102" i="4"/>
  <c r="L98" i="7" s="1"/>
  <c r="Y25" i="4"/>
  <c r="H21" i="7" s="1"/>
  <c r="AB15" i="4"/>
  <c r="G138" i="6"/>
  <c r="Z36" i="4"/>
  <c r="AD131" i="4"/>
  <c r="O66" i="4"/>
  <c r="C62" i="8" s="1"/>
  <c r="AC146" i="4"/>
  <c r="P61" i="4"/>
  <c r="I57" i="8" s="1"/>
  <c r="Z15" i="4"/>
  <c r="G101" i="6"/>
  <c r="AB135" i="4"/>
  <c r="K131" i="7" s="1"/>
  <c r="T66" i="4"/>
  <c r="J62" i="5" s="1"/>
  <c r="N58" i="4"/>
  <c r="H54" i="8" s="1"/>
  <c r="J54" i="8" s="1"/>
  <c r="Z105" i="4"/>
  <c r="E146" i="6"/>
  <c r="F146" i="6"/>
  <c r="AD50" i="4"/>
  <c r="AC124" i="4"/>
  <c r="J25" i="2"/>
  <c r="W148" i="4"/>
  <c r="G126" i="6"/>
  <c r="Z14" i="4"/>
  <c r="Z34" i="4"/>
  <c r="M55" i="4"/>
  <c r="B51" i="8" s="1"/>
  <c r="D51" i="8" s="1"/>
  <c r="AD88" i="4"/>
  <c r="X118" i="4"/>
  <c r="AA37" i="4"/>
  <c r="L33" i="7" s="1"/>
  <c r="M135" i="4"/>
  <c r="B131" i="8" s="1"/>
  <c r="D131" i="8" s="1"/>
  <c r="Z130" i="4"/>
  <c r="AF58" i="4"/>
  <c r="F54" i="7" s="1"/>
  <c r="G75" i="6"/>
  <c r="AC81" i="4"/>
  <c r="P9" i="4"/>
  <c r="I5" i="8" s="1"/>
  <c r="F98" i="6"/>
  <c r="E98" i="6"/>
  <c r="M68" i="4"/>
  <c r="B64" i="8" s="1"/>
  <c r="D64" i="8" s="1"/>
  <c r="P120" i="4"/>
  <c r="I116" i="8" s="1"/>
  <c r="AE55" i="4"/>
  <c r="E51" i="7" s="1"/>
  <c r="N136" i="4"/>
  <c r="H132" i="8" s="1"/>
  <c r="J132" i="8" s="1"/>
  <c r="X18" i="4"/>
  <c r="P153" i="4"/>
  <c r="I149" i="8" s="1"/>
  <c r="Y72" i="4"/>
  <c r="H68" i="7" s="1"/>
  <c r="AA96" i="4"/>
  <c r="L92" i="7" s="1"/>
  <c r="M92" i="4"/>
  <c r="B88" i="8" s="1"/>
  <c r="D88" i="8" s="1"/>
  <c r="W115" i="4"/>
  <c r="AD123" i="4"/>
  <c r="AF129" i="4"/>
  <c r="F125" i="7" s="1"/>
  <c r="T128" i="4"/>
  <c r="J124" i="5" s="1"/>
  <c r="V21" i="4"/>
  <c r="AA36" i="4"/>
  <c r="L32" i="7" s="1"/>
  <c r="O38" i="4"/>
  <c r="C34" i="8" s="1"/>
  <c r="H9" i="2"/>
  <c r="G29" i="6"/>
  <c r="AF54" i="4"/>
  <c r="F50" i="7" s="1"/>
  <c r="V84" i="4"/>
  <c r="AB120" i="4"/>
  <c r="F13" i="6"/>
  <c r="E13" i="6"/>
  <c r="W32" i="4"/>
  <c r="B28" i="7" s="1"/>
  <c r="P11" i="4"/>
  <c r="I7" i="8" s="1"/>
  <c r="AA69" i="4"/>
  <c r="L65" i="7" s="1"/>
  <c r="AB32" i="4"/>
  <c r="K28" i="7" s="1"/>
  <c r="M34" i="4"/>
  <c r="B30" i="8" s="1"/>
  <c r="D30" i="8" s="1"/>
  <c r="X159" i="4"/>
  <c r="Y100" i="4"/>
  <c r="AA100" i="4"/>
  <c r="L96" i="7" s="1"/>
  <c r="H16" i="2"/>
  <c r="AF106" i="4"/>
  <c r="F102" i="7" s="1"/>
  <c r="N93" i="4"/>
  <c r="H89" i="8" s="1"/>
  <c r="J89" i="8" s="1"/>
  <c r="N115" i="4"/>
  <c r="H111" i="8" s="1"/>
  <c r="J111" i="8" s="1"/>
  <c r="V90" i="4"/>
  <c r="O9" i="4"/>
  <c r="C5" i="8" s="1"/>
  <c r="AF21" i="4"/>
  <c r="F17" i="7" s="1"/>
  <c r="E103" i="6"/>
  <c r="F103" i="6"/>
  <c r="N140" i="4"/>
  <c r="H136" i="8" s="1"/>
  <c r="J136" i="8" s="1"/>
  <c r="M131" i="4"/>
  <c r="B127" i="8" s="1"/>
  <c r="D127" i="8" s="1"/>
  <c r="N77" i="4"/>
  <c r="H73" i="8" s="1"/>
  <c r="J73" i="8" s="1"/>
  <c r="Y115" i="4"/>
  <c r="H111" i="7" s="1"/>
  <c r="U33" i="4"/>
  <c r="G117" i="6"/>
  <c r="T11" i="4"/>
  <c r="J7" i="5" s="1"/>
  <c r="X92" i="4"/>
  <c r="AE63" i="4"/>
  <c r="P83" i="4"/>
  <c r="I79" i="8" s="1"/>
  <c r="AC13" i="4"/>
  <c r="P58" i="4"/>
  <c r="I54" i="8" s="1"/>
  <c r="AA44" i="4"/>
  <c r="L40" i="7" s="1"/>
  <c r="N62" i="4"/>
  <c r="H58" i="8" s="1"/>
  <c r="J58" i="8" s="1"/>
  <c r="AA26" i="4"/>
  <c r="L22" i="7" s="1"/>
  <c r="AC50" i="4"/>
  <c r="AA142" i="4"/>
  <c r="L138" i="7" s="1"/>
  <c r="O13" i="4"/>
  <c r="C9" i="8" s="1"/>
  <c r="N17" i="4"/>
  <c r="H13" i="8" s="1"/>
  <c r="J13" i="8" s="1"/>
  <c r="N82" i="4"/>
  <c r="H78" i="8" s="1"/>
  <c r="J78" i="8" s="1"/>
  <c r="V72" i="4"/>
  <c r="I18" i="2"/>
  <c r="P8" i="4"/>
  <c r="I4" i="8" s="1"/>
  <c r="AD61" i="4"/>
  <c r="AB131" i="4"/>
  <c r="U86" i="4"/>
  <c r="X117" i="4"/>
  <c r="AA133" i="4"/>
  <c r="L129" i="7" s="1"/>
  <c r="Y14" i="4"/>
  <c r="AC120" i="4"/>
  <c r="G115" i="6"/>
  <c r="AE74" i="4"/>
  <c r="J8" i="2"/>
  <c r="M82" i="4"/>
  <c r="B78" i="8" s="1"/>
  <c r="D78" i="8" s="1"/>
  <c r="W109" i="4"/>
  <c r="B105" i="7" s="1"/>
  <c r="Y39" i="4"/>
  <c r="AB115" i="4"/>
  <c r="F14" i="6"/>
  <c r="E14" i="6"/>
  <c r="W140" i="4"/>
  <c r="AD13" i="4"/>
  <c r="Z79" i="4"/>
  <c r="E23" i="6"/>
  <c r="F23" i="6"/>
  <c r="AF27" i="4"/>
  <c r="F23" i="7" s="1"/>
  <c r="F18" i="6"/>
  <c r="E18" i="6"/>
  <c r="W111" i="4"/>
  <c r="N143" i="4"/>
  <c r="H139" i="8" s="1"/>
  <c r="J139" i="8" s="1"/>
  <c r="G73" i="6"/>
  <c r="O82" i="4"/>
  <c r="C78" i="8" s="1"/>
  <c r="G140" i="6"/>
  <c r="Y76" i="4"/>
  <c r="H72" i="7" s="1"/>
  <c r="AE8" i="4"/>
  <c r="Y8" i="4"/>
  <c r="H4" i="7" s="1"/>
  <c r="T83" i="4"/>
  <c r="J79" i="5" s="1"/>
  <c r="AA108" i="4"/>
  <c r="L104" i="7" s="1"/>
  <c r="AF86" i="4"/>
  <c r="F82" i="7" s="1"/>
  <c r="N157" i="4"/>
  <c r="H153" i="8" s="1"/>
  <c r="J153" i="8" s="1"/>
  <c r="AF38" i="4"/>
  <c r="F34" i="7" s="1"/>
  <c r="P137" i="4"/>
  <c r="I133" i="8" s="1"/>
  <c r="V32" i="4"/>
  <c r="AC141" i="4"/>
  <c r="P138" i="4"/>
  <c r="I134" i="8" s="1"/>
  <c r="X153" i="4"/>
  <c r="T27" i="4"/>
  <c r="J23" i="5" s="1"/>
  <c r="K17" i="2"/>
  <c r="Z104" i="4"/>
  <c r="AB91" i="4"/>
  <c r="M8" i="2"/>
  <c r="AA97" i="4"/>
  <c r="L93" i="7" s="1"/>
  <c r="Y11" i="4"/>
  <c r="H7" i="7" s="1"/>
  <c r="W112" i="4"/>
  <c r="X114" i="4"/>
  <c r="U76" i="4"/>
  <c r="Z111" i="4"/>
  <c r="Z148" i="4"/>
  <c r="P65" i="4"/>
  <c r="I61" i="8" s="1"/>
  <c r="N119" i="4"/>
  <c r="H115" i="8" s="1"/>
  <c r="J115" i="8" s="1"/>
  <c r="Z152" i="4"/>
  <c r="O125" i="4"/>
  <c r="C121" i="8" s="1"/>
  <c r="U44" i="4"/>
  <c r="W104" i="4"/>
  <c r="B100" i="7" s="1"/>
  <c r="U30" i="4"/>
  <c r="Y104" i="4"/>
  <c r="F63" i="6"/>
  <c r="E63" i="6"/>
  <c r="X112" i="4"/>
  <c r="AE52" i="4"/>
  <c r="E48" i="7" s="1"/>
  <c r="W129" i="4"/>
  <c r="H3" i="2"/>
  <c r="M70" i="4"/>
  <c r="B66" i="8" s="1"/>
  <c r="D66" i="8" s="1"/>
  <c r="T116" i="4"/>
  <c r="J112" i="5" s="1"/>
  <c r="Z131" i="4"/>
  <c r="E131" i="6"/>
  <c r="F131" i="6"/>
  <c r="M139" i="4"/>
  <c r="B135" i="8" s="1"/>
  <c r="D135" i="8" s="1"/>
  <c r="AF24" i="4"/>
  <c r="F20" i="7" s="1"/>
  <c r="W63" i="4"/>
  <c r="B59" i="7" s="1"/>
  <c r="O124" i="4"/>
  <c r="C120" i="8" s="1"/>
  <c r="W91" i="4"/>
  <c r="E134" i="6"/>
  <c r="F134" i="6"/>
  <c r="G129" i="6"/>
  <c r="G66" i="6"/>
  <c r="G149" i="6"/>
  <c r="N138" i="4"/>
  <c r="H134" i="8" s="1"/>
  <c r="J134" i="8" s="1"/>
  <c r="AC46" i="4"/>
  <c r="AE25" i="4"/>
  <c r="M57" i="4"/>
  <c r="B53" i="8" s="1"/>
  <c r="D53" i="8" s="1"/>
  <c r="O159" i="4"/>
  <c r="C155" i="8" s="1"/>
  <c r="G22" i="2"/>
  <c r="F25" i="6"/>
  <c r="E25" i="6"/>
  <c r="AD116" i="4"/>
  <c r="P67" i="4"/>
  <c r="I63" i="8" s="1"/>
  <c r="T22" i="4"/>
  <c r="J18" i="5" s="1"/>
  <c r="G94" i="6"/>
  <c r="U90" i="4"/>
  <c r="Z20" i="4"/>
  <c r="Z95" i="4"/>
  <c r="M8" i="4"/>
  <c r="B4" i="8" s="1"/>
  <c r="D4" i="8" s="1"/>
  <c r="AF124" i="4"/>
  <c r="F120" i="7" s="1"/>
  <c r="AA95" i="4"/>
  <c r="L91" i="7" s="1"/>
  <c r="U48" i="4"/>
  <c r="G96" i="6"/>
  <c r="N92" i="4"/>
  <c r="H88" i="8" s="1"/>
  <c r="J88" i="8" s="1"/>
  <c r="U29" i="4"/>
  <c r="T51" i="4"/>
  <c r="J47" i="5" s="1"/>
  <c r="Y157" i="4"/>
  <c r="N36" i="4"/>
  <c r="H32" i="8" s="1"/>
  <c r="J32" i="8" s="1"/>
  <c r="T23" i="4"/>
  <c r="J19" i="5" s="1"/>
  <c r="T124" i="4"/>
  <c r="J120" i="5" s="1"/>
  <c r="P139" i="4"/>
  <c r="I135" i="8" s="1"/>
  <c r="W144" i="4"/>
  <c r="G155" i="6"/>
  <c r="AA110" i="4"/>
  <c r="L106" i="7" s="1"/>
  <c r="I6" i="2"/>
  <c r="V69" i="4"/>
  <c r="AB59" i="4"/>
  <c r="K55" i="7" s="1"/>
  <c r="Y43" i="4"/>
  <c r="AD152" i="4"/>
  <c r="N131" i="4"/>
  <c r="H127" i="8" s="1"/>
  <c r="J127" i="8" s="1"/>
  <c r="Z140" i="4"/>
  <c r="AA81" i="4"/>
  <c r="L77" i="7" s="1"/>
  <c r="W60" i="4"/>
  <c r="M39" i="4"/>
  <c r="B35" i="8" s="1"/>
  <c r="D35" i="8" s="1"/>
  <c r="X94" i="4"/>
  <c r="N139" i="4"/>
  <c r="H135" i="8" s="1"/>
  <c r="J135" i="8" s="1"/>
  <c r="W56" i="4"/>
  <c r="AC96" i="4"/>
  <c r="AE56" i="4"/>
  <c r="D19" i="2"/>
  <c r="AF32" i="4"/>
  <c r="F28" i="7" s="1"/>
  <c r="U11" i="4"/>
  <c r="N12" i="4"/>
  <c r="H8" i="8" s="1"/>
  <c r="J8" i="8" s="1"/>
  <c r="F92" i="6"/>
  <c r="E92" i="6"/>
  <c r="AC104" i="4"/>
  <c r="F137" i="6"/>
  <c r="E137" i="6"/>
  <c r="Z136" i="4"/>
  <c r="U25" i="4"/>
  <c r="AF55" i="4"/>
  <c r="F51" i="7" s="1"/>
  <c r="D20" i="2"/>
  <c r="AC138" i="4"/>
  <c r="T159" i="4"/>
  <c r="J155" i="5" s="1"/>
  <c r="AD48" i="4"/>
  <c r="U157" i="4"/>
  <c r="T122" i="4"/>
  <c r="J118" i="5" s="1"/>
  <c r="AB127" i="4"/>
  <c r="K123" i="7" s="1"/>
  <c r="U58" i="4"/>
  <c r="AE11" i="4"/>
  <c r="AE80" i="4"/>
  <c r="E76" i="7" s="1"/>
  <c r="F62" i="6"/>
  <c r="E62" i="6"/>
  <c r="X103" i="4"/>
  <c r="N53" i="4"/>
  <c r="H49" i="8" s="1"/>
  <c r="J49" i="8" s="1"/>
  <c r="M13" i="2"/>
  <c r="O46" i="4"/>
  <c r="C42" i="8" s="1"/>
  <c r="H12" i="2"/>
  <c r="AF134" i="4"/>
  <c r="F130" i="7" s="1"/>
  <c r="AD91" i="4"/>
  <c r="AB47" i="4"/>
  <c r="X36" i="4"/>
  <c r="I25" i="2"/>
  <c r="AD77" i="4"/>
  <c r="X23" i="4"/>
  <c r="U88" i="4"/>
  <c r="AA131" i="4"/>
  <c r="L127" i="7" s="1"/>
  <c r="E155" i="6"/>
  <c r="F155" i="6"/>
  <c r="AF95" i="4"/>
  <c r="F91" i="7" s="1"/>
  <c r="X111" i="4"/>
  <c r="O143" i="4"/>
  <c r="C139" i="8" s="1"/>
  <c r="AD133" i="4"/>
  <c r="O29" i="4"/>
  <c r="C25" i="8" s="1"/>
  <c r="AA91" i="4"/>
  <c r="L87" i="7" s="1"/>
  <c r="U55" i="4"/>
  <c r="AB105" i="4"/>
  <c r="K101" i="7" s="1"/>
  <c r="AE42" i="4"/>
  <c r="E38" i="7" s="1"/>
  <c r="G91" i="6"/>
  <c r="P66" i="4"/>
  <c r="I62" i="8" s="1"/>
  <c r="N104" i="4"/>
  <c r="H100" i="8" s="1"/>
  <c r="J100" i="8" s="1"/>
  <c r="M100" i="4"/>
  <c r="B96" i="8" s="1"/>
  <c r="D96" i="8" s="1"/>
  <c r="T84" i="4"/>
  <c r="J80" i="5" s="1"/>
  <c r="K11" i="2"/>
  <c r="AF36" i="4"/>
  <c r="F32" i="7" s="1"/>
  <c r="U36" i="4"/>
  <c r="O109" i="4"/>
  <c r="C105" i="8" s="1"/>
  <c r="U152" i="4"/>
  <c r="N108" i="4"/>
  <c r="H104" i="8" s="1"/>
  <c r="J104" i="8" s="1"/>
  <c r="AF67" i="4"/>
  <c r="F63" i="7" s="1"/>
  <c r="I5" i="2"/>
  <c r="L9" i="2"/>
  <c r="AA151" i="4"/>
  <c r="L147" i="7" s="1"/>
  <c r="Y62" i="4"/>
  <c r="W41" i="4"/>
  <c r="G143" i="6"/>
  <c r="X22" i="4"/>
  <c r="P92" i="4"/>
  <c r="I88" i="8" s="1"/>
  <c r="P54" i="4"/>
  <c r="I50" i="8" s="1"/>
  <c r="Y141" i="4"/>
  <c r="H137" i="7" s="1"/>
  <c r="E85" i="6"/>
  <c r="F85" i="6"/>
  <c r="N130" i="4"/>
  <c r="H126" i="8" s="1"/>
  <c r="J126" i="8" s="1"/>
  <c r="V57" i="4"/>
  <c r="AA114" i="4"/>
  <c r="L110" i="7" s="1"/>
  <c r="AC155" i="4"/>
  <c r="AC154" i="4"/>
  <c r="Y120" i="4"/>
  <c r="H116" i="7" s="1"/>
  <c r="U53" i="4"/>
  <c r="AA124" i="4"/>
  <c r="L120" i="7" s="1"/>
  <c r="W150" i="4"/>
  <c r="Z54" i="4"/>
  <c r="Y88" i="4"/>
  <c r="W110" i="4"/>
  <c r="AF91" i="4"/>
  <c r="F87" i="7" s="1"/>
  <c r="F145" i="6"/>
  <c r="E145" i="6"/>
  <c r="L16" i="2"/>
  <c r="X31" i="4"/>
  <c r="E33" i="6"/>
  <c r="F33" i="6"/>
  <c r="U27" i="4"/>
  <c r="AE105" i="4"/>
  <c r="AB97" i="4"/>
  <c r="K93" i="7" s="1"/>
  <c r="P55" i="4"/>
  <c r="I51" i="8" s="1"/>
  <c r="I20" i="2"/>
  <c r="X28" i="4"/>
  <c r="AC123" i="4"/>
  <c r="E17" i="2"/>
  <c r="AA43" i="4"/>
  <c r="L39" i="7" s="1"/>
  <c r="V150" i="4"/>
  <c r="T7" i="4"/>
  <c r="J3" i="5" s="1"/>
  <c r="P52" i="4"/>
  <c r="I48" i="8" s="1"/>
  <c r="W126" i="4"/>
  <c r="L12" i="2"/>
  <c r="U134" i="4"/>
  <c r="AC134" i="4"/>
  <c r="O96" i="4"/>
  <c r="C92" i="8" s="1"/>
  <c r="G74" i="6"/>
  <c r="N24" i="4"/>
  <c r="H20" i="8" s="1"/>
  <c r="J20" i="8" s="1"/>
  <c r="Y31" i="4"/>
  <c r="H27" i="7" s="1"/>
  <c r="E48" i="6"/>
  <c r="F48" i="6"/>
  <c r="F7" i="6"/>
  <c r="E7" i="6"/>
  <c r="U145" i="4"/>
  <c r="V33" i="4"/>
  <c r="U95" i="4"/>
  <c r="M17" i="4"/>
  <c r="B13" i="8" s="1"/>
  <c r="D13" i="8" s="1"/>
  <c r="AD149" i="4"/>
  <c r="E52" i="6"/>
  <c r="F52" i="6"/>
  <c r="AE130" i="4"/>
  <c r="X56" i="4"/>
  <c r="F47" i="6"/>
  <c r="E47" i="6"/>
  <c r="J6" i="2"/>
  <c r="F135" i="6"/>
  <c r="E135" i="6"/>
  <c r="O152" i="4"/>
  <c r="C148" i="8" s="1"/>
  <c r="U132" i="4"/>
  <c r="AE148" i="4"/>
  <c r="E144" i="7" s="1"/>
  <c r="N126" i="4"/>
  <c r="H122" i="8" s="1"/>
  <c r="J122" i="8" s="1"/>
  <c r="L20" i="2"/>
  <c r="AC151" i="4"/>
  <c r="M53" i="4"/>
  <c r="B49" i="8" s="1"/>
  <c r="D49" i="8" s="1"/>
  <c r="P71" i="4"/>
  <c r="I67" i="8" s="1"/>
  <c r="M148" i="4"/>
  <c r="B144" i="8" s="1"/>
  <c r="D144" i="8" s="1"/>
  <c r="O129" i="4"/>
  <c r="C125" i="8" s="1"/>
  <c r="AD47" i="4"/>
  <c r="F13" i="2"/>
  <c r="AE31" i="4"/>
  <c r="AB52" i="4"/>
  <c r="K48" i="7" s="1"/>
  <c r="AE92" i="4"/>
  <c r="O149" i="4"/>
  <c r="C145" i="8" s="1"/>
  <c r="P95" i="4"/>
  <c r="I91" i="8" s="1"/>
  <c r="AE154" i="4"/>
  <c r="E150" i="7" s="1"/>
  <c r="AA159" i="4"/>
  <c r="L155" i="7" s="1"/>
  <c r="U107" i="4"/>
  <c r="W39" i="4"/>
  <c r="B35" i="7" s="1"/>
  <c r="E29" i="6"/>
  <c r="F29" i="6"/>
  <c r="Z17" i="4"/>
  <c r="AB65" i="4"/>
  <c r="K61" i="7" s="1"/>
  <c r="M121" i="4"/>
  <c r="B117" i="8" s="1"/>
  <c r="D117" i="8" s="1"/>
  <c r="V73" i="4"/>
  <c r="G6" i="2"/>
  <c r="AF118" i="4"/>
  <c r="F114" i="7" s="1"/>
  <c r="P121" i="4"/>
  <c r="I117" i="8" s="1"/>
  <c r="AD83" i="4"/>
  <c r="E25" i="2"/>
  <c r="AA113" i="4"/>
  <c r="L109" i="7" s="1"/>
  <c r="Y126" i="4"/>
  <c r="U126" i="4"/>
  <c r="N135" i="4"/>
  <c r="H131" i="8" s="1"/>
  <c r="J131" i="8" s="1"/>
  <c r="Z43" i="4"/>
  <c r="F19" i="2"/>
  <c r="U117" i="4"/>
  <c r="AD26" i="4"/>
  <c r="M84" i="4"/>
  <c r="B80" i="8" s="1"/>
  <c r="D80" i="8" s="1"/>
  <c r="AE117" i="4"/>
  <c r="M88" i="4"/>
  <c r="B84" i="8" s="1"/>
  <c r="D84" i="8" s="1"/>
  <c r="Z121" i="4"/>
  <c r="AF152" i="4"/>
  <c r="F148" i="7" s="1"/>
  <c r="AD101" i="4"/>
  <c r="Z138" i="4"/>
  <c r="F96" i="6"/>
  <c r="E96" i="6"/>
  <c r="AD68" i="4"/>
  <c r="W26" i="4"/>
  <c r="B22" i="7" s="1"/>
  <c r="AC68" i="4"/>
  <c r="AA134" i="4"/>
  <c r="L130" i="7" s="1"/>
  <c r="M124" i="4"/>
  <c r="B120" i="8" s="1"/>
  <c r="D120" i="8" s="1"/>
  <c r="D21" i="2"/>
  <c r="G64" i="6"/>
  <c r="Y98" i="4"/>
  <c r="V142" i="4"/>
  <c r="P53" i="4"/>
  <c r="I49" i="8" s="1"/>
  <c r="X134" i="4"/>
  <c r="W8" i="4"/>
  <c r="Z101" i="4"/>
  <c r="O86" i="4"/>
  <c r="C82" i="8" s="1"/>
  <c r="O51" i="4"/>
  <c r="C47" i="8" s="1"/>
  <c r="J5" i="2"/>
  <c r="V77" i="4"/>
  <c r="G52" i="6"/>
  <c r="M142" i="4"/>
  <c r="B138" i="8" s="1"/>
  <c r="D138" i="8" s="1"/>
  <c r="G88" i="6"/>
  <c r="Z112" i="4"/>
  <c r="F152" i="6"/>
  <c r="E152" i="6"/>
  <c r="AF112" i="4"/>
  <c r="F108" i="7" s="1"/>
  <c r="Y138" i="4"/>
  <c r="AD151" i="4"/>
  <c r="N96" i="4"/>
  <c r="H92" i="8" s="1"/>
  <c r="J92" i="8" s="1"/>
  <c r="P143" i="4"/>
  <c r="I139" i="8" s="1"/>
  <c r="AF26" i="4"/>
  <c r="F22" i="7" s="1"/>
  <c r="AA29" i="4"/>
  <c r="L25" i="7" s="1"/>
  <c r="E91" i="6"/>
  <c r="F91" i="6"/>
  <c r="W93" i="4"/>
  <c r="B89" i="7" s="1"/>
  <c r="AE65" i="4"/>
  <c r="E61" i="7" s="1"/>
  <c r="AE57" i="4"/>
  <c r="E53" i="7" s="1"/>
  <c r="O75" i="4"/>
  <c r="C71" i="8" s="1"/>
  <c r="V151" i="4"/>
  <c r="P25" i="4"/>
  <c r="I21" i="8" s="1"/>
  <c r="X46" i="4"/>
  <c r="X140" i="4"/>
  <c r="U78" i="4"/>
  <c r="AE115" i="4"/>
  <c r="E111" i="7" s="1"/>
  <c r="U82" i="4"/>
  <c r="Z155" i="4"/>
  <c r="Y9" i="4"/>
  <c r="H5" i="7" s="1"/>
  <c r="V108" i="4"/>
  <c r="Y158" i="4"/>
  <c r="AD25" i="4"/>
  <c r="G17" i="2"/>
  <c r="G70" i="6"/>
  <c r="N91" i="4"/>
  <c r="H87" i="8" s="1"/>
  <c r="J87" i="8" s="1"/>
  <c r="N147" i="4"/>
  <c r="H143" i="8" s="1"/>
  <c r="J143" i="8" s="1"/>
  <c r="AB99" i="4"/>
  <c r="AE137" i="4"/>
  <c r="E133" i="7" s="1"/>
  <c r="AF60" i="4"/>
  <c r="F56" i="7" s="1"/>
  <c r="G116" i="6"/>
  <c r="Z65" i="4"/>
  <c r="F82" i="6"/>
  <c r="E82" i="6"/>
  <c r="F55" i="6"/>
  <c r="E55" i="6"/>
  <c r="AE93" i="4"/>
  <c r="AA49" i="4"/>
  <c r="L45" i="7" s="1"/>
  <c r="AB75" i="4"/>
  <c r="E10" i="6"/>
  <c r="F10" i="6"/>
  <c r="U92" i="4"/>
  <c r="P81" i="4"/>
  <c r="I77" i="8" s="1"/>
  <c r="P126" i="4"/>
  <c r="I122" i="8" s="1"/>
  <c r="AE111" i="4"/>
  <c r="E107" i="7" s="1"/>
  <c r="T149" i="4"/>
  <c r="J145" i="5" s="1"/>
  <c r="T80" i="4"/>
  <c r="J76" i="5" s="1"/>
  <c r="V125" i="4"/>
  <c r="AB88" i="4"/>
  <c r="K84" i="7" s="1"/>
  <c r="T72" i="4"/>
  <c r="J68" i="5" s="1"/>
  <c r="Z100" i="4"/>
  <c r="AA98" i="4"/>
  <c r="L94" i="7" s="1"/>
  <c r="AF143" i="4"/>
  <c r="F139" i="7" s="1"/>
  <c r="AC10" i="4"/>
  <c r="F54" i="6"/>
  <c r="E54" i="6"/>
  <c r="P89" i="4"/>
  <c r="I85" i="8" s="1"/>
  <c r="W59" i="4"/>
  <c r="B55" i="7" s="1"/>
  <c r="AF130" i="4"/>
  <c r="F126" i="7" s="1"/>
  <c r="N122" i="4"/>
  <c r="H118" i="8" s="1"/>
  <c r="J118" i="8" s="1"/>
  <c r="P148" i="4"/>
  <c r="I144" i="8" s="1"/>
  <c r="F22" i="6"/>
  <c r="E22" i="6"/>
  <c r="T130" i="4"/>
  <c r="J126" i="5" s="1"/>
  <c r="Y64" i="4"/>
  <c r="AD110" i="4"/>
  <c r="AD94" i="4"/>
  <c r="Y146" i="4"/>
  <c r="AD118" i="4"/>
  <c r="Z99" i="4"/>
  <c r="M110" i="4"/>
  <c r="B106" i="8" s="1"/>
  <c r="D106" i="8" s="1"/>
  <c r="Z57" i="4"/>
  <c r="U24" i="4"/>
  <c r="U147" i="4"/>
  <c r="V89" i="4"/>
  <c r="AC108" i="4"/>
  <c r="G125" i="6"/>
  <c r="AC67" i="4"/>
  <c r="Z30" i="4"/>
  <c r="Y143" i="4"/>
  <c r="N26" i="4"/>
  <c r="H22" i="8" s="1"/>
  <c r="J22" i="8" s="1"/>
  <c r="N152" i="4"/>
  <c r="H148" i="8" s="1"/>
  <c r="J148" i="8" s="1"/>
  <c r="G84" i="6"/>
  <c r="AA153" i="4"/>
  <c r="L149" i="7" s="1"/>
  <c r="X129" i="4"/>
  <c r="P110" i="4"/>
  <c r="I106" i="8" s="1"/>
  <c r="G12" i="2"/>
  <c r="AB25" i="4"/>
  <c r="K21" i="7" s="1"/>
  <c r="M15" i="2"/>
  <c r="I15" i="2"/>
  <c r="H15" i="2"/>
  <c r="AC100" i="4"/>
  <c r="F50" i="6"/>
  <c r="E50" i="6"/>
  <c r="Z118" i="4"/>
  <c r="G63" i="6"/>
  <c r="AB77" i="4"/>
  <c r="AD39" i="4"/>
  <c r="G35" i="6"/>
  <c r="X107" i="4"/>
  <c r="AC42" i="4"/>
  <c r="AC70" i="4"/>
  <c r="AF146" i="4"/>
  <c r="F142" i="7" s="1"/>
  <c r="AE69" i="4"/>
  <c r="N75" i="4"/>
  <c r="H71" i="8" s="1"/>
  <c r="J71" i="8" s="1"/>
  <c r="Z98" i="4"/>
  <c r="Y16" i="4"/>
  <c r="H12" i="7" s="1"/>
  <c r="Z10" i="4"/>
  <c r="AD100" i="4"/>
  <c r="U31" i="4"/>
  <c r="AC142" i="4"/>
  <c r="AF30" i="4"/>
  <c r="F26" i="7" s="1"/>
  <c r="AC47" i="4"/>
  <c r="AD74" i="4"/>
  <c r="E56" i="6"/>
  <c r="F56" i="6"/>
  <c r="Y80" i="4"/>
  <c r="H76" i="7" s="1"/>
  <c r="T64" i="4"/>
  <c r="J60" i="5" s="1"/>
  <c r="AC58" i="4"/>
  <c r="N35" i="4"/>
  <c r="H31" i="8" s="1"/>
  <c r="J31" i="8" s="1"/>
  <c r="G23" i="6"/>
  <c r="Z132" i="4"/>
  <c r="Y113" i="4"/>
  <c r="Y61" i="4"/>
  <c r="H57" i="7" s="1"/>
  <c r="E16" i="6"/>
  <c r="F16" i="6"/>
  <c r="O24" i="4"/>
  <c r="C20" i="8" s="1"/>
  <c r="V116" i="4"/>
  <c r="W44" i="4"/>
  <c r="AE141" i="4"/>
  <c r="E137" i="7" s="1"/>
  <c r="AD20" i="4"/>
  <c r="T136" i="4"/>
  <c r="J132" i="5" s="1"/>
  <c r="AA70" i="4"/>
  <c r="L66" i="7" s="1"/>
  <c r="Y46" i="4"/>
  <c r="AE108" i="4"/>
  <c r="E104" i="7" s="1"/>
  <c r="W75" i="4"/>
  <c r="B71" i="7" s="1"/>
  <c r="P113" i="4"/>
  <c r="I109" i="8" s="1"/>
  <c r="E23" i="2"/>
  <c r="P35" i="4"/>
  <c r="I31" i="8" s="1"/>
  <c r="W136" i="4"/>
  <c r="B132" i="7" s="1"/>
  <c r="U87" i="4"/>
  <c r="AB144" i="4"/>
  <c r="X24" i="4"/>
  <c r="W101" i="4"/>
  <c r="E144" i="6"/>
  <c r="F144" i="6"/>
  <c r="T109" i="4"/>
  <c r="J105" i="5" s="1"/>
  <c r="AA132" i="4"/>
  <c r="L128" i="7" s="1"/>
  <c r="AD90" i="4"/>
  <c r="Z59" i="4"/>
  <c r="X137" i="4"/>
  <c r="W94" i="4"/>
  <c r="B90" i="7" s="1"/>
  <c r="V106" i="4"/>
  <c r="U105" i="4"/>
  <c r="U138" i="4"/>
  <c r="AD138" i="4"/>
  <c r="AC117" i="4"/>
  <c r="Z90" i="4"/>
  <c r="U139" i="4"/>
  <c r="AC14" i="4"/>
  <c r="V29" i="4"/>
  <c r="X121" i="4"/>
  <c r="G95" i="6"/>
  <c r="G150" i="6"/>
  <c r="F80" i="6"/>
  <c r="E80" i="6"/>
  <c r="G110" i="6"/>
  <c r="V18" i="4"/>
  <c r="T150" i="4"/>
  <c r="J146" i="5" s="1"/>
  <c r="W145" i="4"/>
  <c r="G137" i="6"/>
  <c r="W53" i="4"/>
  <c r="P98" i="4"/>
  <c r="I94" i="8" s="1"/>
  <c r="AD117" i="4"/>
  <c r="Y123" i="4"/>
  <c r="G8" i="6"/>
  <c r="D6" i="2"/>
  <c r="X62" i="4"/>
  <c r="O148" i="4"/>
  <c r="C144" i="8" s="1"/>
  <c r="M93" i="4"/>
  <c r="B89" i="8" s="1"/>
  <c r="D89" i="8" s="1"/>
  <c r="AA125" i="4"/>
  <c r="L121" i="7" s="1"/>
  <c r="M89" i="4"/>
  <c r="B85" i="8" s="1"/>
  <c r="D85" i="8" s="1"/>
  <c r="AD82" i="4"/>
  <c r="W46" i="4"/>
  <c r="AA55" i="4"/>
  <c r="L51" i="7" s="1"/>
  <c r="V115" i="4"/>
  <c r="AF75" i="4"/>
  <c r="F71" i="7" s="1"/>
  <c r="AA117" i="4"/>
  <c r="L113" i="7" s="1"/>
  <c r="F18" i="2"/>
  <c r="V139" i="4"/>
  <c r="G65" i="6"/>
  <c r="X95" i="4"/>
  <c r="M101" i="4"/>
  <c r="B97" i="8" s="1"/>
  <c r="D97" i="8" s="1"/>
  <c r="AE14" i="4"/>
  <c r="E10" i="7" s="1"/>
  <c r="Z150" i="4"/>
  <c r="AA112" i="4"/>
  <c r="L108" i="7" s="1"/>
  <c r="AF142" i="4"/>
  <c r="F138" i="7" s="1"/>
  <c r="AA103" i="4"/>
  <c r="L99" i="7" s="1"/>
  <c r="U97" i="4"/>
  <c r="AA33" i="4"/>
  <c r="L29" i="7" s="1"/>
  <c r="X150" i="4"/>
  <c r="Z50" i="4"/>
  <c r="V97" i="4"/>
  <c r="G14" i="6"/>
  <c r="AC23" i="4"/>
  <c r="D16" i="2"/>
  <c r="Z113" i="4"/>
  <c r="F136" i="6"/>
  <c r="E136" i="6"/>
  <c r="N25" i="4"/>
  <c r="H21" i="8" s="1"/>
  <c r="J21" i="8" s="1"/>
  <c r="M95" i="4"/>
  <c r="B91" i="8" s="1"/>
  <c r="D91" i="8" s="1"/>
  <c r="P115" i="4"/>
  <c r="I111" i="8" s="1"/>
  <c r="T152" i="4"/>
  <c r="J148" i="5" s="1"/>
  <c r="V148" i="4"/>
  <c r="V70" i="4"/>
  <c r="G57" i="6"/>
  <c r="AA47" i="4"/>
  <c r="L43" i="7" s="1"/>
  <c r="U155" i="4"/>
  <c r="AA84" i="4"/>
  <c r="L80" i="7" s="1"/>
  <c r="AA9" i="4"/>
  <c r="L5" i="7" s="1"/>
  <c r="AF18" i="4"/>
  <c r="F14" i="7" s="1"/>
  <c r="X61" i="4"/>
  <c r="V94" i="4"/>
  <c r="N111" i="4"/>
  <c r="H107" i="8" s="1"/>
  <c r="J107" i="8" s="1"/>
  <c r="T46" i="4"/>
  <c r="J42" i="5" s="1"/>
  <c r="T56" i="4"/>
  <c r="J52" i="5" s="1"/>
  <c r="Y12" i="4"/>
  <c r="H8" i="7" s="1"/>
  <c r="AD143" i="4"/>
  <c r="W96" i="4"/>
  <c r="Y151" i="4"/>
  <c r="AB69" i="4"/>
  <c r="G15" i="6"/>
  <c r="AC144" i="4"/>
  <c r="U13" i="4"/>
  <c r="E123" i="6"/>
  <c r="F123" i="6"/>
  <c r="U91" i="4"/>
  <c r="T110" i="4"/>
  <c r="J106" i="5" s="1"/>
  <c r="V16" i="4"/>
  <c r="P28" i="4"/>
  <c r="I24" i="8" s="1"/>
  <c r="N27" i="4"/>
  <c r="H23" i="8" s="1"/>
  <c r="J23" i="8" s="1"/>
  <c r="AC80" i="4"/>
  <c r="M54" i="4"/>
  <c r="B50" i="8" s="1"/>
  <c r="D50" i="8" s="1"/>
  <c r="N38" i="4"/>
  <c r="H34" i="8" s="1"/>
  <c r="J34" i="8" s="1"/>
  <c r="M64" i="4"/>
  <c r="B60" i="8" s="1"/>
  <c r="D60" i="8" s="1"/>
  <c r="AC87" i="4"/>
  <c r="Z48" i="4"/>
  <c r="AA57" i="4"/>
  <c r="L53" i="7" s="1"/>
  <c r="AE39" i="4"/>
  <c r="T108" i="4"/>
  <c r="J104" i="5" s="1"/>
  <c r="AC71" i="4"/>
  <c r="AA88" i="4"/>
  <c r="L84" i="7" s="1"/>
  <c r="AD99" i="4"/>
  <c r="V59" i="4"/>
  <c r="M74" i="4"/>
  <c r="B70" i="8" s="1"/>
  <c r="D70" i="8" s="1"/>
  <c r="AB55" i="4"/>
  <c r="K51" i="7" s="1"/>
  <c r="Y63" i="4"/>
  <c r="H59" i="7" s="1"/>
  <c r="AD11" i="4"/>
  <c r="G45" i="6"/>
  <c r="F88" i="6"/>
  <c r="E88" i="6"/>
  <c r="F105" i="6"/>
  <c r="E105" i="6"/>
  <c r="U99" i="4"/>
  <c r="AA120" i="4"/>
  <c r="L116" i="7" s="1"/>
  <c r="U128" i="4"/>
  <c r="U149" i="4"/>
  <c r="V134" i="4"/>
  <c r="P101" i="4"/>
  <c r="I97" i="8" s="1"/>
  <c r="V78" i="4"/>
  <c r="AA127" i="4"/>
  <c r="L123" i="7" s="1"/>
  <c r="P26" i="4"/>
  <c r="I22" i="8" s="1"/>
  <c r="W103" i="4"/>
  <c r="K20" i="2"/>
  <c r="AC75" i="4"/>
  <c r="AB31" i="4"/>
  <c r="K27" i="7" s="1"/>
  <c r="X122" i="4"/>
  <c r="M25" i="2"/>
  <c r="AE159" i="4"/>
  <c r="E155" i="7" s="1"/>
  <c r="AD134" i="4"/>
  <c r="W117" i="4"/>
  <c r="X40" i="4"/>
  <c r="M125" i="4"/>
  <c r="B121" i="8" s="1"/>
  <c r="D121" i="8" s="1"/>
  <c r="G123" i="6"/>
  <c r="T65" i="4"/>
  <c r="J61" i="5" s="1"/>
  <c r="X90" i="4"/>
  <c r="E17" i="6"/>
  <c r="F17" i="6"/>
  <c r="E118" i="6"/>
  <c r="F118" i="6"/>
  <c r="P44" i="4"/>
  <c r="I40" i="8" s="1"/>
  <c r="AB140" i="4"/>
  <c r="K136" i="7" s="1"/>
  <c r="AE147" i="4"/>
  <c r="E143" i="7" s="1"/>
  <c r="AB130" i="4"/>
  <c r="AC24" i="4"/>
  <c r="P69" i="4"/>
  <c r="I65" i="8" s="1"/>
  <c r="V118" i="4"/>
  <c r="O81" i="4"/>
  <c r="C77" i="8" s="1"/>
  <c r="G54" i="6"/>
  <c r="T106" i="4"/>
  <c r="J102" i="5" s="1"/>
  <c r="Y109" i="4"/>
  <c r="H105" i="7" s="1"/>
  <c r="O77" i="4"/>
  <c r="C73" i="8" s="1"/>
  <c r="N150" i="4"/>
  <c r="H146" i="8" s="1"/>
  <c r="J146" i="8" s="1"/>
  <c r="AB26" i="4"/>
  <c r="K22" i="7" s="1"/>
  <c r="V53" i="4"/>
  <c r="X89" i="4"/>
  <c r="N65" i="4"/>
  <c r="H61" i="8" s="1"/>
  <c r="J61" i="8" s="1"/>
  <c r="J9" i="2"/>
  <c r="Y149" i="4"/>
  <c r="H145" i="7" s="1"/>
  <c r="X126" i="4"/>
  <c r="AB20" i="4"/>
  <c r="K16" i="7" s="1"/>
  <c r="G119" i="6"/>
  <c r="AE114" i="4"/>
  <c r="E110" i="7" s="1"/>
  <c r="U14" i="4"/>
  <c r="AB40" i="4"/>
  <c r="K36" i="7" s="1"/>
  <c r="N83" i="4"/>
  <c r="H79" i="8" s="1"/>
  <c r="J79" i="8" s="1"/>
  <c r="AA146" i="4"/>
  <c r="L142" i="7" s="1"/>
  <c r="J4" i="2"/>
  <c r="AE46" i="4"/>
  <c r="E42" i="7" s="1"/>
  <c r="AF74" i="4"/>
  <c r="F70" i="7" s="1"/>
  <c r="E114" i="6"/>
  <c r="F114" i="6"/>
  <c r="AE128" i="4"/>
  <c r="U135" i="4"/>
  <c r="T117" i="4"/>
  <c r="J113" i="5" s="1"/>
  <c r="L5" i="2"/>
  <c r="AF137" i="4"/>
  <c r="F133" i="7" s="1"/>
  <c r="G90" i="6"/>
  <c r="T44" i="4"/>
  <c r="J40" i="5" s="1"/>
  <c r="E124" i="6"/>
  <c r="F124" i="6"/>
  <c r="W40" i="4"/>
  <c r="G113" i="6"/>
  <c r="AC130" i="4"/>
  <c r="U28" i="4"/>
  <c r="O97" i="4"/>
  <c r="C93" i="8" s="1"/>
  <c r="Z85" i="4"/>
  <c r="E32" i="6"/>
  <c r="F32" i="6"/>
  <c r="AC148" i="4"/>
  <c r="T9" i="4"/>
  <c r="J5" i="5" s="1"/>
  <c r="AB93" i="4"/>
  <c r="K89" i="7" s="1"/>
  <c r="F65" i="6"/>
  <c r="E65" i="6"/>
  <c r="AB116" i="4"/>
  <c r="K112" i="7" s="1"/>
  <c r="T57" i="4"/>
  <c r="J53" i="5" s="1"/>
  <c r="Y49" i="4"/>
  <c r="H45" i="7" s="1"/>
  <c r="X101" i="4"/>
  <c r="F42" i="6"/>
  <c r="E42" i="6"/>
  <c r="N79" i="4"/>
  <c r="H75" i="8" s="1"/>
  <c r="J75" i="8" s="1"/>
  <c r="AA22" i="4"/>
  <c r="L18" i="7" s="1"/>
  <c r="V154" i="4"/>
  <c r="T28" i="4"/>
  <c r="J24" i="5" s="1"/>
  <c r="AD56" i="4"/>
  <c r="X69" i="4"/>
  <c r="U119" i="4"/>
  <c r="AD72" i="4"/>
  <c r="P142" i="4"/>
  <c r="I138" i="8" s="1"/>
  <c r="AB113" i="4"/>
  <c r="K109" i="7" s="1"/>
  <c r="AF157" i="4"/>
  <c r="F153" i="7" s="1"/>
  <c r="O116" i="4"/>
  <c r="C112" i="8" s="1"/>
  <c r="V121" i="4"/>
  <c r="AB50" i="4"/>
  <c r="K46" i="7" s="1"/>
  <c r="X82" i="4"/>
  <c r="E79" i="6"/>
  <c r="F79" i="6"/>
  <c r="J23" i="2"/>
  <c r="AF158" i="4"/>
  <c r="F154" i="7" s="1"/>
  <c r="AF144" i="4"/>
  <c r="F140" i="7" s="1"/>
  <c r="P80" i="4"/>
  <c r="I76" i="8" s="1"/>
  <c r="D24" i="2"/>
  <c r="Y10" i="4"/>
  <c r="O132" i="4"/>
  <c r="C128" i="8" s="1"/>
  <c r="G56" i="6"/>
  <c r="G108" i="6"/>
  <c r="AC36" i="4"/>
  <c r="O154" i="4"/>
  <c r="C150" i="8" s="1"/>
  <c r="O128" i="4"/>
  <c r="C124" i="8" s="1"/>
  <c r="E140" i="6"/>
  <c r="F140" i="6"/>
  <c r="H22" i="2"/>
  <c r="N87" i="4"/>
  <c r="H83" i="8" s="1"/>
  <c r="J83" i="8" s="1"/>
  <c r="AD104" i="4"/>
  <c r="X115" i="4"/>
  <c r="Z97" i="4"/>
  <c r="T101" i="4"/>
  <c r="J97" i="5" s="1"/>
  <c r="Z46" i="4"/>
  <c r="P56" i="4"/>
  <c r="I52" i="8" s="1"/>
  <c r="M149" i="4"/>
  <c r="B145" i="8" s="1"/>
  <c r="D145" i="8" s="1"/>
  <c r="O111" i="4"/>
  <c r="C107" i="8" s="1"/>
  <c r="L7" i="2"/>
  <c r="X119" i="4"/>
  <c r="AC137" i="4"/>
  <c r="AA92" i="4"/>
  <c r="L88" i="7" s="1"/>
  <c r="P135" i="4"/>
  <c r="I131" i="8" s="1"/>
  <c r="V28" i="4"/>
  <c r="Z142" i="4"/>
  <c r="E153" i="6"/>
  <c r="F153" i="6"/>
  <c r="M120" i="4"/>
  <c r="B116" i="8" s="1"/>
  <c r="D116" i="8" s="1"/>
  <c r="N78" i="4"/>
  <c r="H74" i="8" s="1"/>
  <c r="J74" i="8" s="1"/>
  <c r="U80" i="4"/>
  <c r="G109" i="6"/>
  <c r="AF14" i="4"/>
  <c r="F10" i="7" s="1"/>
  <c r="V65" i="4"/>
  <c r="AF89" i="4"/>
  <c r="F85" i="7" s="1"/>
  <c r="N49" i="4"/>
  <c r="H45" i="8" s="1"/>
  <c r="J45" i="8" s="1"/>
  <c r="Z122" i="4"/>
  <c r="O59" i="4"/>
  <c r="C55" i="8" s="1"/>
  <c r="O101" i="4"/>
  <c r="C97" i="8" s="1"/>
  <c r="N158" i="4"/>
  <c r="H154" i="8" s="1"/>
  <c r="J154" i="8" s="1"/>
  <c r="M102" i="4"/>
  <c r="B98" i="8" s="1"/>
  <c r="D98" i="8" s="1"/>
  <c r="G33" i="6"/>
  <c r="P20" i="4"/>
  <c r="I16" i="8" s="1"/>
  <c r="N128" i="4"/>
  <c r="H124" i="8" s="1"/>
  <c r="J124" i="8" s="1"/>
  <c r="O73" i="4"/>
  <c r="C69" i="8" s="1"/>
  <c r="Z67" i="4"/>
  <c r="F122" i="6"/>
  <c r="E122" i="6"/>
  <c r="AB146" i="4"/>
  <c r="J19" i="2"/>
  <c r="F128" i="6"/>
  <c r="E128" i="6"/>
  <c r="AF151" i="4"/>
  <c r="F147" i="7" s="1"/>
  <c r="AB139" i="4"/>
  <c r="K135" i="7" s="1"/>
  <c r="W36" i="4"/>
  <c r="B32" i="7" s="1"/>
  <c r="AF11" i="4"/>
  <c r="F7" i="7" s="1"/>
  <c r="E35" i="6"/>
  <c r="F35" i="6"/>
  <c r="N94" i="4"/>
  <c r="H90" i="8" s="1"/>
  <c r="J90" i="8" s="1"/>
  <c r="G72" i="6"/>
  <c r="P145" i="4"/>
  <c r="I141" i="8" s="1"/>
  <c r="M48" i="4"/>
  <c r="B44" i="8" s="1"/>
  <c r="D44" i="8" s="1"/>
  <c r="O126" i="4"/>
  <c r="C122" i="8" s="1"/>
  <c r="M98" i="4"/>
  <c r="B94" i="8" s="1"/>
  <c r="D94" i="8" s="1"/>
  <c r="N127" i="4"/>
  <c r="H123" i="8" s="1"/>
  <c r="J123" i="8" s="1"/>
  <c r="AE96" i="4"/>
  <c r="E92" i="7" s="1"/>
  <c r="W105" i="4"/>
  <c r="B101" i="7" s="1"/>
  <c r="K10" i="2"/>
  <c r="G43" i="6"/>
  <c r="E57" i="6"/>
  <c r="F57" i="6"/>
  <c r="Z71" i="4"/>
  <c r="AD156" i="4"/>
  <c r="F21" i="6"/>
  <c r="E21" i="6"/>
  <c r="U43" i="4"/>
  <c r="O89" i="4"/>
  <c r="C85" i="8" s="1"/>
  <c r="E106" i="6"/>
  <c r="F106" i="6"/>
  <c r="P108" i="4"/>
  <c r="I104" i="8" s="1"/>
  <c r="V140" i="4"/>
  <c r="E51" i="6"/>
  <c r="F51" i="6"/>
  <c r="AF116" i="4"/>
  <c r="F112" i="7" s="1"/>
  <c r="AE153" i="4"/>
  <c r="U142" i="4"/>
  <c r="P30" i="4"/>
  <c r="I26" i="8" s="1"/>
  <c r="G44" i="6"/>
  <c r="G121" i="6"/>
  <c r="N41" i="4"/>
  <c r="H37" i="8" s="1"/>
  <c r="J37" i="8" s="1"/>
  <c r="W57" i="4"/>
  <c r="B53" i="7" s="1"/>
  <c r="AB8" i="4"/>
  <c r="K4" i="7" s="1"/>
  <c r="AE124" i="4"/>
  <c r="E120" i="7" s="1"/>
  <c r="AF83" i="4"/>
  <c r="F79" i="7" s="1"/>
  <c r="O11" i="4"/>
  <c r="C7" i="8" s="1"/>
  <c r="M85" i="4"/>
  <c r="B81" i="8" s="1"/>
  <c r="D81" i="8" s="1"/>
  <c r="AB100" i="4"/>
  <c r="E75" i="6"/>
  <c r="F75" i="6"/>
  <c r="Z110" i="4"/>
  <c r="V122" i="4"/>
  <c r="AB147" i="4"/>
  <c r="E147" i="6"/>
  <c r="F147" i="6"/>
  <c r="F125" i="6"/>
  <c r="E125" i="6"/>
  <c r="N103" i="4"/>
  <c r="H99" i="8" s="1"/>
  <c r="J99" i="8" s="1"/>
  <c r="P34" i="4"/>
  <c r="I30" i="8" s="1"/>
  <c r="H6" i="2"/>
  <c r="AA148" i="4"/>
  <c r="L144" i="7" s="1"/>
  <c r="F9" i="6"/>
  <c r="E9" i="6"/>
  <c r="AB150" i="4"/>
  <c r="E5" i="6"/>
  <c r="F5" i="6"/>
  <c r="W152" i="4"/>
  <c r="G99" i="6"/>
  <c r="U96" i="4"/>
  <c r="W143" i="4"/>
  <c r="Z134" i="4"/>
  <c r="M23" i="4"/>
  <c r="B19" i="8" s="1"/>
  <c r="D19" i="8" s="1"/>
  <c r="P116" i="4"/>
  <c r="I112" i="8" s="1"/>
  <c r="V76" i="4"/>
  <c r="F31" i="6"/>
  <c r="E31" i="6"/>
  <c r="M114" i="4"/>
  <c r="B110" i="8" s="1"/>
  <c r="D110" i="8" s="1"/>
  <c r="U65" i="4"/>
  <c r="O18" i="4"/>
  <c r="C14" i="8" s="1"/>
  <c r="AB107" i="4"/>
  <c r="K103" i="7" s="1"/>
  <c r="AE101" i="4"/>
  <c r="E97" i="7" s="1"/>
  <c r="P128" i="4"/>
  <c r="I124" i="8" s="1"/>
  <c r="N123" i="4"/>
  <c r="H119" i="8" s="1"/>
  <c r="J119" i="8" s="1"/>
  <c r="AB72" i="4"/>
  <c r="K68" i="7" s="1"/>
  <c r="T69" i="4"/>
  <c r="J65" i="5" s="1"/>
  <c r="G71" i="6"/>
  <c r="AE35" i="4"/>
  <c r="E31" i="7" s="1"/>
  <c r="G153" i="6"/>
  <c r="N132" i="4"/>
  <c r="H128" i="8" s="1"/>
  <c r="J128" i="8" s="1"/>
  <c r="M32" i="4"/>
  <c r="B28" i="8" s="1"/>
  <c r="D28" i="8" s="1"/>
  <c r="G98" i="6"/>
  <c r="W45" i="4"/>
  <c r="B41" i="7" s="1"/>
  <c r="F126" i="6"/>
  <c r="E126" i="6"/>
  <c r="O131" i="4"/>
  <c r="C127" i="8" s="1"/>
  <c r="O146" i="4"/>
  <c r="C142" i="8" s="1"/>
  <c r="W116" i="4"/>
  <c r="B112" i="7" s="1"/>
  <c r="AD153" i="4"/>
  <c r="G20" i="6"/>
  <c r="F127" i="6"/>
  <c r="E127" i="6"/>
  <c r="V105" i="4"/>
  <c r="G89" i="6"/>
  <c r="G37" i="6"/>
  <c r="Y59" i="4"/>
  <c r="H55" i="7" s="1"/>
  <c r="O144" i="4"/>
  <c r="C140" i="8" s="1"/>
  <c r="T75" i="4"/>
  <c r="J71" i="5" s="1"/>
  <c r="T138" i="4"/>
  <c r="J134" i="5" s="1"/>
  <c r="Y118" i="4"/>
  <c r="K6" i="2"/>
  <c r="AD9" i="4"/>
  <c r="V38" i="4"/>
  <c r="AD8" i="4"/>
  <c r="AA86" i="4"/>
  <c r="L82" i="7" s="1"/>
  <c r="AE152" i="4"/>
  <c r="E148" i="7" s="1"/>
  <c r="O98" i="4"/>
  <c r="C94" i="8" s="1"/>
  <c r="AD95" i="4"/>
  <c r="P82" i="4"/>
  <c r="I78" i="8" s="1"/>
  <c r="AE95" i="4"/>
  <c r="V52" i="4"/>
  <c r="U84" i="4"/>
  <c r="AD31" i="4"/>
  <c r="V86" i="4"/>
  <c r="G130" i="6"/>
  <c r="AA156" i="4"/>
  <c r="L152" i="7" s="1"/>
  <c r="M109" i="4"/>
  <c r="B105" i="8" s="1"/>
  <c r="D105" i="8" s="1"/>
  <c r="AF131" i="4"/>
  <c r="F127" i="7" s="1"/>
  <c r="X158" i="4"/>
  <c r="AC156" i="4"/>
  <c r="D8" i="2"/>
  <c r="G111" i="6"/>
  <c r="T120" i="4"/>
  <c r="J116" i="5" s="1"/>
  <c r="AD145" i="4"/>
  <c r="U23" i="4"/>
  <c r="AA126" i="4"/>
  <c r="L122" i="7" s="1"/>
  <c r="E27" i="6"/>
  <c r="F27" i="6"/>
  <c r="AF88" i="4"/>
  <c r="F84" i="7" s="1"/>
  <c r="U73" i="4"/>
  <c r="V7" i="4"/>
  <c r="AC149" i="4"/>
  <c r="Y147" i="4"/>
  <c r="H143" i="7" s="1"/>
  <c r="P125" i="4"/>
  <c r="I121" i="8" s="1"/>
  <c r="AE139" i="4"/>
  <c r="E135" i="7" s="1"/>
  <c r="AB134" i="4"/>
  <c r="K130" i="7" s="1"/>
  <c r="P42" i="4"/>
  <c r="I38" i="8" s="1"/>
  <c r="Y68" i="4"/>
  <c r="H64" i="7" s="1"/>
  <c r="F11" i="2"/>
  <c r="F104" i="6"/>
  <c r="E104" i="6"/>
  <c r="G38" i="6"/>
  <c r="AA119" i="4"/>
  <c r="L115" i="7" s="1"/>
  <c r="I12" i="2"/>
  <c r="O133" i="4"/>
  <c r="C129" i="8" s="1"/>
  <c r="AC28" i="4"/>
  <c r="AD128" i="4"/>
  <c r="AC16" i="4"/>
  <c r="AD43" i="4"/>
  <c r="M59" i="4"/>
  <c r="B55" i="8" s="1"/>
  <c r="D55" i="8" s="1"/>
  <c r="AB148" i="4"/>
  <c r="T151" i="4"/>
  <c r="J147" i="5" s="1"/>
  <c r="F43" i="6"/>
  <c r="E43" i="6"/>
  <c r="AF53" i="4"/>
  <c r="F49" i="7" s="1"/>
  <c r="E7" i="2"/>
  <c r="T141" i="4"/>
  <c r="J137" i="5" s="1"/>
  <c r="G10" i="6"/>
  <c r="U113" i="4"/>
  <c r="G139" i="6"/>
  <c r="AA61" i="4"/>
  <c r="L57" i="7" s="1"/>
  <c r="AA109" i="4"/>
  <c r="L105" i="7" s="1"/>
  <c r="O48" i="4"/>
  <c r="C44" i="8" s="1"/>
  <c r="T52" i="4"/>
  <c r="J48" i="5" s="1"/>
  <c r="F21" i="2"/>
  <c r="AC62" i="4"/>
  <c r="N97" i="4"/>
  <c r="H93" i="8" s="1"/>
  <c r="J93" i="8" s="1"/>
  <c r="T35" i="4"/>
  <c r="J31" i="5" s="1"/>
  <c r="G23" i="2"/>
  <c r="AA13" i="4"/>
  <c r="L9" i="7" s="1"/>
  <c r="U156" i="4"/>
  <c r="E115" i="6"/>
  <c r="F115" i="6"/>
  <c r="AD158" i="4"/>
  <c r="AB35" i="4"/>
  <c r="K31" i="7" s="1"/>
  <c r="V27" i="4"/>
  <c r="AB151" i="4"/>
  <c r="G31" i="6"/>
  <c r="AB142" i="4"/>
  <c r="AC15" i="4"/>
  <c r="F40" i="6"/>
  <c r="E40" i="6"/>
  <c r="AD142" i="4"/>
  <c r="Y105" i="4"/>
  <c r="H101" i="7" s="1"/>
  <c r="AC143" i="4"/>
  <c r="G7" i="2"/>
  <c r="E154" i="6"/>
  <c r="F154" i="6"/>
  <c r="M116" i="4"/>
  <c r="B112" i="8" s="1"/>
  <c r="D112" i="8" s="1"/>
  <c r="G55" i="6"/>
  <c r="O127" i="4"/>
  <c r="C123" i="8" s="1"/>
  <c r="AD119" i="4"/>
  <c r="G4" i="6"/>
  <c r="AC159" i="4"/>
  <c r="T132" i="4"/>
  <c r="J128" i="5" s="1"/>
  <c r="V147" i="4"/>
  <c r="I7" i="2"/>
  <c r="AC89" i="4"/>
  <c r="N84" i="4"/>
  <c r="H80" i="8" s="1"/>
  <c r="J80" i="8" s="1"/>
  <c r="Z64" i="4"/>
  <c r="T118" i="4"/>
  <c r="J114" i="5" s="1"/>
  <c r="O157" i="4"/>
  <c r="C153" i="8" s="1"/>
  <c r="U66" i="4"/>
  <c r="X98" i="4"/>
  <c r="G30" i="6"/>
  <c r="F6" i="6"/>
  <c r="E6" i="6"/>
  <c r="Y152" i="4"/>
  <c r="H148" i="7" s="1"/>
  <c r="G122" i="6"/>
  <c r="Z88" i="4"/>
  <c r="N148" i="4"/>
  <c r="H144" i="8" s="1"/>
  <c r="J144" i="8" s="1"/>
  <c r="AF33" i="4"/>
  <c r="F29" i="7" s="1"/>
  <c r="U42" i="4"/>
  <c r="M10" i="4"/>
  <c r="B6" i="8" s="1"/>
  <c r="D6" i="8" s="1"/>
  <c r="Z39" i="4"/>
  <c r="P130" i="4"/>
  <c r="I126" i="8" s="1"/>
  <c r="T93" i="4"/>
  <c r="J89" i="5" s="1"/>
  <c r="P105" i="4"/>
  <c r="I101" i="8" s="1"/>
  <c r="V114" i="4"/>
  <c r="Z146" i="4"/>
  <c r="Y128" i="4"/>
  <c r="H124" i="7" s="1"/>
  <c r="P147" i="4"/>
  <c r="I143" i="8" s="1"/>
  <c r="Z81" i="4"/>
  <c r="G59" i="6"/>
  <c r="T153" i="4"/>
  <c r="J149" i="5" s="1"/>
  <c r="AB84" i="4"/>
  <c r="K80" i="7" s="1"/>
  <c r="G12" i="6"/>
  <c r="O130" i="4"/>
  <c r="C126" i="8" s="1"/>
  <c r="T88" i="4"/>
  <c r="J84" i="5" s="1"/>
  <c r="F49" i="6"/>
  <c r="E49" i="6"/>
  <c r="AE109" i="4"/>
  <c r="E105" i="7" s="1"/>
  <c r="AB121" i="4"/>
  <c r="K117" i="7" s="1"/>
  <c r="V119" i="4"/>
  <c r="N141" i="4"/>
  <c r="H137" i="8" s="1"/>
  <c r="J137" i="8" s="1"/>
  <c r="W137" i="4"/>
  <c r="O45" i="4"/>
  <c r="C41" i="8" s="1"/>
  <c r="O100" i="4"/>
  <c r="C96" i="8" s="1"/>
  <c r="T63" i="4"/>
  <c r="J59" i="5" s="1"/>
  <c r="F89" i="6"/>
  <c r="E89" i="6"/>
  <c r="AE43" i="4"/>
  <c r="T139" i="4"/>
  <c r="J135" i="5" s="1"/>
  <c r="K19" i="2"/>
  <c r="M27" i="4"/>
  <c r="B23" i="8" s="1"/>
  <c r="D23" i="8" s="1"/>
  <c r="U21" i="4"/>
  <c r="X108" i="4"/>
  <c r="L23" i="2"/>
  <c r="P15" i="4"/>
  <c r="I11" i="8" s="1"/>
  <c r="Y154" i="4"/>
  <c r="H150" i="7" s="1"/>
  <c r="AF104" i="4"/>
  <c r="F100" i="7" s="1"/>
  <c r="G106" i="6"/>
  <c r="AA34" i="4"/>
  <c r="L30" i="7" s="1"/>
  <c r="W74" i="4"/>
  <c r="AE22" i="4"/>
  <c r="E18" i="7" s="1"/>
  <c r="F37" i="6"/>
  <c r="E37" i="6"/>
  <c r="Y132" i="4"/>
  <c r="AD130" i="4"/>
  <c r="M106" i="4"/>
  <c r="B102" i="8" s="1"/>
  <c r="D102" i="8" s="1"/>
  <c r="Z7" i="4"/>
  <c r="Y153" i="4"/>
  <c r="H149" i="7" s="1"/>
  <c r="AD7" i="4"/>
  <c r="E3" i="7" s="1"/>
  <c r="G80" i="6"/>
  <c r="P124" i="4"/>
  <c r="I120" i="8" s="1"/>
  <c r="G124" i="6"/>
  <c r="E139" i="6"/>
  <c r="F139" i="6"/>
  <c r="F84" i="6"/>
  <c r="E84" i="6"/>
  <c r="Z70" i="4"/>
  <c r="AA136" i="4"/>
  <c r="L132" i="7" s="1"/>
  <c r="O10" i="4"/>
  <c r="C6" i="8" s="1"/>
  <c r="AC91" i="4"/>
  <c r="Y18" i="4"/>
  <c r="H14" i="7" s="1"/>
  <c r="V95" i="4"/>
  <c r="F143" i="6"/>
  <c r="E143" i="6"/>
  <c r="G62" i="6"/>
  <c r="F5" i="2"/>
  <c r="O62" i="4"/>
  <c r="C58" i="8" s="1"/>
  <c r="T126" i="4"/>
  <c r="J122" i="5" s="1"/>
  <c r="Y22" i="4"/>
  <c r="E16" i="2"/>
  <c r="X41" i="4"/>
  <c r="F90" i="6"/>
  <c r="E90" i="6"/>
  <c r="Y140" i="4"/>
  <c r="H136" i="7" s="1"/>
  <c r="X135" i="4"/>
  <c r="X53" i="4"/>
  <c r="E133" i="6"/>
  <c r="F133" i="6"/>
  <c r="L11" i="2"/>
  <c r="P86" i="4"/>
  <c r="I82" i="8" s="1"/>
  <c r="AF48" i="4"/>
  <c r="F44" i="7" s="1"/>
  <c r="G17" i="6"/>
  <c r="AF138" i="4"/>
  <c r="F134" i="7" s="1"/>
  <c r="P90" i="4"/>
  <c r="I86" i="8" s="1"/>
  <c r="P149" i="4"/>
  <c r="I145" i="8" s="1"/>
  <c r="AE88" i="4"/>
  <c r="E84" i="7" s="1"/>
  <c r="AB76" i="4"/>
  <c r="K72" i="7" s="1"/>
  <c r="M80" i="4"/>
  <c r="B76" i="8" s="1"/>
  <c r="D76" i="8" s="1"/>
  <c r="F120" i="6"/>
  <c r="E120" i="6"/>
  <c r="T127" i="4"/>
  <c r="J123" i="5" s="1"/>
  <c r="Y156" i="4"/>
  <c r="H152" i="7" s="1"/>
  <c r="AD18" i="4"/>
  <c r="T158" i="4"/>
  <c r="J154" i="5" s="1"/>
  <c r="O87" i="4"/>
  <c r="C83" i="8" s="1"/>
  <c r="AF149" i="4"/>
  <c r="F145" i="7" s="1"/>
  <c r="D11" i="2"/>
  <c r="X85" i="4"/>
  <c r="W159" i="4"/>
  <c r="AF115" i="4"/>
  <c r="F111" i="7" s="1"/>
  <c r="N70" i="4"/>
  <c r="H66" i="8" s="1"/>
  <c r="J66" i="8" s="1"/>
  <c r="F111" i="6"/>
  <c r="E111" i="6"/>
  <c r="U159" i="4"/>
  <c r="F60" i="6"/>
  <c r="E60" i="6"/>
  <c r="Y28" i="4"/>
  <c r="H24" i="7" s="1"/>
  <c r="AA71" i="4"/>
  <c r="L67" i="7" s="1"/>
  <c r="T100" i="4"/>
  <c r="J96" i="5" s="1"/>
  <c r="G114" i="6"/>
  <c r="P45" i="4"/>
  <c r="I41" i="8" s="1"/>
  <c r="Z119" i="4"/>
  <c r="N149" i="4"/>
  <c r="H145" i="8" s="1"/>
  <c r="J145" i="8" s="1"/>
  <c r="G39" i="6"/>
  <c r="N42" i="4"/>
  <c r="H38" i="8" s="1"/>
  <c r="J38" i="8" s="1"/>
  <c r="P155" i="4"/>
  <c r="I151" i="8" s="1"/>
  <c r="X81" i="4"/>
  <c r="W102" i="4"/>
  <c r="AB62" i="4"/>
  <c r="M79" i="4"/>
  <c r="B75" i="8" s="1"/>
  <c r="D75" i="8" s="1"/>
  <c r="T42" i="4"/>
  <c r="J38" i="5" s="1"/>
  <c r="AF147" i="4"/>
  <c r="F143" i="7" s="1"/>
  <c r="AF61" i="4"/>
  <c r="F57" i="7" s="1"/>
  <c r="P7" i="4"/>
  <c r="I3" i="8" s="1"/>
  <c r="F101" i="6"/>
  <c r="E101" i="6"/>
  <c r="O78" i="4"/>
  <c r="C74" i="8" s="1"/>
  <c r="X128" i="4"/>
  <c r="G151" i="6"/>
  <c r="Z151" i="4"/>
  <c r="I8" i="2"/>
  <c r="AB137" i="4"/>
  <c r="Z58" i="4"/>
  <c r="AD105" i="4"/>
  <c r="P75" i="4"/>
  <c r="I71" i="8" s="1"/>
  <c r="J13" i="2"/>
  <c r="X133" i="4"/>
  <c r="T18" i="4"/>
  <c r="J14" i="5" s="1"/>
  <c r="I19" i="2"/>
  <c r="G78" i="6"/>
  <c r="N54" i="4"/>
  <c r="H50" i="8" s="1"/>
  <c r="J50" i="8" s="1"/>
  <c r="G93" i="6"/>
  <c r="AB153" i="4"/>
  <c r="K149" i="7" s="1"/>
  <c r="T87" i="4"/>
  <c r="J83" i="5" s="1"/>
  <c r="AB149" i="4"/>
  <c r="AB108" i="4"/>
  <c r="K104" i="7" s="1"/>
  <c r="O53" i="4"/>
  <c r="C49" i="8" s="1"/>
  <c r="M123" i="4"/>
  <c r="B119" i="8" s="1"/>
  <c r="D119" i="8" s="1"/>
  <c r="G131" i="6"/>
  <c r="G103" i="6"/>
  <c r="AE127" i="4"/>
  <c r="E123" i="7" s="1"/>
  <c r="G53" i="6"/>
  <c r="AC131" i="4"/>
  <c r="AD69" i="4"/>
  <c r="E65" i="7" s="1"/>
  <c r="F86" i="6"/>
  <c r="E86" i="6"/>
  <c r="N99" i="4"/>
  <c r="H95" i="8" s="1"/>
  <c r="J95" i="8" s="1"/>
  <c r="E5" i="2"/>
  <c r="AD29" i="4"/>
  <c r="M122" i="4"/>
  <c r="B118" i="8" s="1"/>
  <c r="D118" i="8" s="1"/>
  <c r="E119" i="6"/>
  <c r="F119" i="6"/>
  <c r="AF39" i="4"/>
  <c r="F35" i="7" s="1"/>
  <c r="M143" i="4"/>
  <c r="B139" i="8" s="1"/>
  <c r="D139" i="8" s="1"/>
  <c r="F151" i="6"/>
  <c r="E151" i="6"/>
  <c r="X88" i="4"/>
  <c r="N71" i="4"/>
  <c r="H67" i="8" s="1"/>
  <c r="J67" i="8" s="1"/>
  <c r="AB83" i="4"/>
  <c r="K79" i="7" s="1"/>
  <c r="W84" i="4"/>
  <c r="B80" i="7" s="1"/>
  <c r="AF114" i="4"/>
  <c r="F110" i="7" s="1"/>
  <c r="O136" i="4"/>
  <c r="C132" i="8" s="1"/>
  <c r="O135" i="4"/>
  <c r="C131" i="8" s="1"/>
  <c r="U8" i="4"/>
  <c r="AE123" i="4"/>
  <c r="Z159" i="4"/>
  <c r="D17" i="2"/>
  <c r="P23" i="4"/>
  <c r="I19" i="8" s="1"/>
  <c r="F109" i="6"/>
  <c r="E109" i="6"/>
  <c r="U151" i="4"/>
  <c r="N68" i="4"/>
  <c r="H64" i="8" s="1"/>
  <c r="J64" i="8" s="1"/>
  <c r="V62" i="4"/>
  <c r="F11" i="6"/>
  <c r="E11" i="6"/>
  <c r="AB128" i="4"/>
  <c r="K124" i="7" s="1"/>
  <c r="Z133" i="4"/>
  <c r="Y101" i="4"/>
  <c r="H97" i="7" s="1"/>
  <c r="AD93" i="4"/>
  <c r="AC103" i="4"/>
  <c r="P106" i="4"/>
  <c r="I102" i="8" s="1"/>
  <c r="Y159" i="4"/>
  <c r="H155" i="7" s="1"/>
  <c r="F87" i="6"/>
  <c r="E87" i="6"/>
  <c r="U100" i="4"/>
  <c r="P29" i="4"/>
  <c r="I25" i="8" s="1"/>
  <c r="G49" i="6"/>
  <c r="AE151" i="4"/>
  <c r="AE146" i="4"/>
  <c r="E142" i="7" s="1"/>
  <c r="W106" i="4"/>
  <c r="B102" i="7" s="1"/>
  <c r="N137" i="4"/>
  <c r="H133" i="8" s="1"/>
  <c r="J133" i="8" s="1"/>
  <c r="Y133" i="4"/>
  <c r="O64" i="4"/>
  <c r="C60" i="8" s="1"/>
  <c r="AE67" i="4"/>
  <c r="E63" i="7" s="1"/>
  <c r="AF7" i="4"/>
  <c r="F3" i="7" s="1"/>
  <c r="AA138" i="4"/>
  <c r="L134" i="7" s="1"/>
  <c r="Z56" i="4"/>
  <c r="M112" i="4"/>
  <c r="B108" i="8" s="1"/>
  <c r="D108" i="8" s="1"/>
  <c r="P157" i="4"/>
  <c r="I153" i="8" s="1"/>
  <c r="E142" i="6"/>
  <c r="F142" i="6"/>
  <c r="U141" i="4"/>
  <c r="T61" i="4"/>
  <c r="J57" i="5" s="1"/>
  <c r="AA7" i="4"/>
  <c r="L3" i="7" s="1"/>
  <c r="G9" i="6"/>
  <c r="M144" i="4"/>
  <c r="B140" i="8" s="1"/>
  <c r="D140" i="8" s="1"/>
  <c r="G13" i="6"/>
  <c r="O110" i="4"/>
  <c r="C106" i="8" s="1"/>
  <c r="M136" i="4"/>
  <c r="B132" i="8" s="1"/>
  <c r="D132" i="8" s="1"/>
  <c r="F73" i="6"/>
  <c r="E73" i="6"/>
  <c r="G87" i="6"/>
  <c r="AE23" i="4"/>
  <c r="E19" i="7" s="1"/>
  <c r="G28" i="6"/>
  <c r="U131" i="4"/>
  <c r="Z158" i="4"/>
  <c r="AF159" i="4"/>
  <c r="F155" i="7" s="1"/>
  <c r="O118" i="4"/>
  <c r="C114" i="8" s="1"/>
  <c r="U129" i="4"/>
  <c r="M46" i="4"/>
  <c r="B42" i="8" s="1"/>
  <c r="D42" i="8" s="1"/>
  <c r="Z73" i="4"/>
  <c r="AD150" i="4"/>
  <c r="AD10" i="4"/>
  <c r="Y89" i="4"/>
  <c r="H85" i="7" s="1"/>
  <c r="F99" i="6"/>
  <c r="E99" i="6"/>
  <c r="N23" i="4"/>
  <c r="H19" i="8" s="1"/>
  <c r="J19" i="8" s="1"/>
  <c r="M37" i="4"/>
  <c r="B33" i="8" s="1"/>
  <c r="D33" i="8" s="1"/>
  <c r="G46" i="6"/>
  <c r="AD92" i="4"/>
  <c r="P96" i="4"/>
  <c r="I92" i="8" s="1"/>
  <c r="AE50" i="4"/>
  <c r="E46" i="7" s="1"/>
  <c r="G134" i="6"/>
  <c r="Z22" i="4"/>
  <c r="N33" i="4"/>
  <c r="H29" i="8" s="1"/>
  <c r="J29" i="8" s="1"/>
  <c r="G136" i="6"/>
  <c r="W100" i="4"/>
  <c r="U62" i="4"/>
  <c r="O42" i="4"/>
  <c r="C38" i="8" s="1"/>
  <c r="V117" i="4"/>
  <c r="AB54" i="4"/>
  <c r="K50" i="7" s="1"/>
  <c r="E45" i="6"/>
  <c r="F45" i="6"/>
  <c r="X74" i="4"/>
  <c r="G147" i="6"/>
  <c r="F61" i="6"/>
  <c r="E61" i="6"/>
  <c r="K7" i="2"/>
  <c r="V143" i="4"/>
  <c r="AA73" i="4"/>
  <c r="L69" i="7" s="1"/>
  <c r="W42" i="4"/>
  <c r="H18" i="2"/>
  <c r="X124" i="4"/>
  <c r="AA152" i="4"/>
  <c r="L148" i="7" s="1"/>
  <c r="F59" i="6"/>
  <c r="E59" i="6"/>
  <c r="T143" i="4"/>
  <c r="J139" i="5" s="1"/>
  <c r="W139" i="4"/>
  <c r="V132" i="4"/>
  <c r="U143" i="4"/>
  <c r="AF154" i="4"/>
  <c r="F150" i="7" s="1"/>
  <c r="AC150" i="4"/>
  <c r="W132" i="4"/>
  <c r="B128" i="7" s="1"/>
  <c r="N7" i="4"/>
  <c r="H3" i="8" s="1"/>
  <c r="U102" i="4"/>
  <c r="O107" i="4"/>
  <c r="C103" i="8" s="1"/>
  <c r="Y56" i="4"/>
  <c r="AC129" i="4"/>
  <c r="U146" i="4"/>
  <c r="G21" i="6"/>
  <c r="Y106" i="4"/>
  <c r="H102" i="7" s="1"/>
  <c r="P64" i="4"/>
  <c r="I60" i="8" s="1"/>
  <c r="F19" i="6"/>
  <c r="E19" i="6"/>
  <c r="AF136" i="4"/>
  <c r="F132" i="7" s="1"/>
  <c r="N52" i="4"/>
  <c r="H48" i="8" s="1"/>
  <c r="J48" i="8" s="1"/>
  <c r="P94" i="4"/>
  <c r="I90" i="8" s="1"/>
  <c r="E95" i="6"/>
  <c r="F95" i="6"/>
  <c r="Y65" i="4"/>
  <c r="H61" i="7" s="1"/>
  <c r="E15" i="6"/>
  <c r="F15" i="6"/>
  <c r="AC90" i="4"/>
  <c r="G34" i="6"/>
  <c r="N134" i="4"/>
  <c r="H130" i="8" s="1"/>
  <c r="J130" i="8" s="1"/>
  <c r="Z157" i="4"/>
  <c r="G127" i="6"/>
  <c r="T94" i="4"/>
  <c r="J90" i="5" s="1"/>
  <c r="V127" i="4"/>
  <c r="O72" i="4"/>
  <c r="C68" i="8" s="1"/>
  <c r="M127" i="4"/>
  <c r="B123" i="8" s="1"/>
  <c r="D123" i="8" s="1"/>
  <c r="Y84" i="4"/>
  <c r="H80" i="7" s="1"/>
  <c r="X138" i="4"/>
  <c r="Y95" i="4"/>
  <c r="H91" i="7" s="1"/>
  <c r="Z55" i="4"/>
  <c r="M4" i="2"/>
  <c r="E12" i="2"/>
  <c r="P37" i="4"/>
  <c r="I33" i="8" s="1"/>
  <c r="E149" i="6"/>
  <c r="F149" i="6"/>
  <c r="AB158" i="4"/>
  <c r="K154" i="7" s="1"/>
  <c r="O137" i="4"/>
  <c r="C133" i="8" s="1"/>
  <c r="U148" i="4"/>
  <c r="M6" i="2"/>
  <c r="T157" i="4"/>
  <c r="J153" i="5" s="1"/>
  <c r="AB64" i="4"/>
  <c r="K60" i="7" s="1"/>
  <c r="AC69" i="4"/>
  <c r="H7" i="2"/>
  <c r="AC17" i="4"/>
  <c r="E81" i="6"/>
  <c r="F81" i="6"/>
  <c r="AA63" i="4"/>
  <c r="L59" i="7" s="1"/>
  <c r="V131" i="4"/>
  <c r="P117" i="4"/>
  <c r="I113" i="8" s="1"/>
  <c r="M155" i="4"/>
  <c r="B151" i="8" s="1"/>
  <c r="D151" i="8" s="1"/>
  <c r="Y135" i="4"/>
  <c r="H131" i="7" s="1"/>
  <c r="G18" i="6"/>
  <c r="AC147" i="4"/>
  <c r="AD38" i="4"/>
  <c r="D13" i="2"/>
  <c r="G26" i="6"/>
  <c r="M10" i="2"/>
  <c r="T41" i="4"/>
  <c r="J37" i="5" s="1"/>
  <c r="P150" i="4"/>
  <c r="I146" i="8" s="1"/>
  <c r="Z124" i="4"/>
  <c r="AE86" i="4"/>
  <c r="E82" i="7" s="1"/>
  <c r="G58" i="6"/>
  <c r="D3" i="2"/>
  <c r="AD73" i="4"/>
  <c r="M18" i="4"/>
  <c r="B14" i="8" s="1"/>
  <c r="D14" i="8" s="1"/>
  <c r="T43" i="4"/>
  <c r="J39" i="5" s="1"/>
  <c r="Z24" i="4"/>
  <c r="E76" i="6"/>
  <c r="F76" i="6"/>
  <c r="T91" i="4"/>
  <c r="J87" i="5" s="1"/>
  <c r="N105" i="4"/>
  <c r="H101" i="8" s="1"/>
  <c r="J101" i="8" s="1"/>
  <c r="X49" i="4"/>
  <c r="U114" i="4"/>
  <c r="F4" i="2"/>
  <c r="AF62" i="4"/>
  <c r="F58" i="7" s="1"/>
  <c r="X142" i="4"/>
  <c r="AE125" i="4"/>
  <c r="E121" i="7" s="1"/>
  <c r="V136" i="4"/>
  <c r="W154" i="4"/>
  <c r="B150" i="7" s="1"/>
  <c r="E141" i="6"/>
  <c r="F141" i="6"/>
  <c r="O151" i="4"/>
  <c r="C147" i="8" s="1"/>
  <c r="Y137" i="4"/>
  <c r="H133" i="7" s="1"/>
  <c r="AA87" i="4"/>
  <c r="L83" i="7" s="1"/>
  <c r="AF150" i="4"/>
  <c r="F146" i="7" s="1"/>
  <c r="N59" i="4"/>
  <c r="H55" i="8" s="1"/>
  <c r="J55" i="8" s="1"/>
  <c r="E9" i="2"/>
  <c r="AC126" i="4"/>
  <c r="O26" i="4"/>
  <c r="C22" i="8" s="1"/>
  <c r="W92" i="4"/>
  <c r="P47" i="4"/>
  <c r="I43" i="8" s="1"/>
  <c r="W142" i="4"/>
  <c r="H8" i="2"/>
  <c r="G19" i="6"/>
  <c r="F77" i="6"/>
  <c r="E77" i="6"/>
  <c r="AB126" i="4"/>
  <c r="P76" i="4"/>
  <c r="I72" i="8" s="1"/>
  <c r="U60" i="4"/>
  <c r="Z143" i="4"/>
  <c r="AE132" i="4"/>
  <c r="E128" i="7" s="1"/>
  <c r="T10" i="4"/>
  <c r="J6" i="5" s="1"/>
  <c r="P97" i="4"/>
  <c r="I93" i="8" s="1"/>
  <c r="F9" i="12"/>
  <c r="F2" i="12"/>
  <c r="E3" i="12"/>
  <c r="F22" i="12"/>
  <c r="E30" i="12"/>
  <c r="E2" i="12"/>
  <c r="F3" i="12"/>
  <c r="F20" i="12"/>
  <c r="G19" i="12"/>
  <c r="G3" i="12"/>
  <c r="G20" i="12"/>
  <c r="F19" i="12"/>
  <c r="G21" i="12"/>
  <c r="E20" i="12"/>
  <c r="F36" i="12"/>
  <c r="E19" i="12"/>
  <c r="F21" i="12"/>
  <c r="G2" i="12"/>
  <c r="E8" i="12"/>
  <c r="E22" i="12"/>
  <c r="F30" i="12"/>
  <c r="G30" i="12"/>
  <c r="G36" i="12"/>
  <c r="F8" i="12"/>
  <c r="E21" i="12"/>
  <c r="E9" i="12"/>
  <c r="G9" i="12"/>
  <c r="E36" i="12"/>
  <c r="G8" i="12"/>
  <c r="G22" i="12"/>
  <c r="B30" i="7" l="1"/>
  <c r="K145" i="7"/>
  <c r="E91" i="7"/>
  <c r="B70" i="7"/>
  <c r="B138" i="7"/>
  <c r="E119" i="7"/>
  <c r="K133" i="7"/>
  <c r="H128" i="7"/>
  <c r="B148" i="7"/>
  <c r="H122" i="7"/>
  <c r="B116" i="7"/>
  <c r="H17" i="7"/>
  <c r="K57" i="7"/>
  <c r="K122" i="7"/>
  <c r="B135" i="7"/>
  <c r="K147" i="7"/>
  <c r="H119" i="7"/>
  <c r="H125" i="7"/>
  <c r="K73" i="7"/>
  <c r="B36" i="7"/>
  <c r="B155" i="7"/>
  <c r="H94" i="7"/>
  <c r="E132" i="7"/>
  <c r="E40" i="7"/>
  <c r="B60" i="7"/>
  <c r="B114" i="7"/>
  <c r="K115" i="7"/>
  <c r="E140" i="7"/>
  <c r="E20" i="7"/>
  <c r="H73" i="7"/>
  <c r="B88" i="7"/>
  <c r="K105" i="7"/>
  <c r="E39" i="7"/>
  <c r="H134" i="7"/>
  <c r="H49" i="7"/>
  <c r="K65" i="7"/>
  <c r="E60" i="7"/>
  <c r="E45" i="7"/>
  <c r="K82" i="7"/>
  <c r="B119" i="7"/>
  <c r="K98" i="7"/>
  <c r="B146" i="7"/>
  <c r="B125" i="7"/>
  <c r="B111" i="7"/>
  <c r="E129" i="7"/>
  <c r="B12" i="7"/>
  <c r="K77" i="7"/>
  <c r="E23" i="7"/>
  <c r="K140" i="7"/>
  <c r="H42" i="7"/>
  <c r="K144" i="7"/>
  <c r="K96" i="7"/>
  <c r="K142" i="7"/>
  <c r="H6" i="7"/>
  <c r="B92" i="7"/>
  <c r="H58" i="7"/>
  <c r="E59" i="7"/>
  <c r="K134" i="7"/>
  <c r="E75" i="7"/>
  <c r="K37" i="7"/>
  <c r="K43" i="7"/>
  <c r="B139" i="7"/>
  <c r="E124" i="7"/>
  <c r="B4" i="7"/>
  <c r="B140" i="7"/>
  <c r="B14" i="7"/>
  <c r="K41" i="7"/>
  <c r="B47" i="7"/>
  <c r="H79" i="7"/>
  <c r="E8" i="7"/>
  <c r="E67" i="7"/>
  <c r="K58" i="7"/>
  <c r="E147" i="7"/>
  <c r="B141" i="7"/>
  <c r="B52" i="7"/>
  <c r="E56" i="7"/>
  <c r="B6" i="7"/>
  <c r="E41" i="7"/>
  <c r="I72" i="7"/>
  <c r="D72" i="6"/>
  <c r="G24" i="7"/>
  <c r="D24" i="7"/>
  <c r="J24" i="7"/>
  <c r="B24" i="6"/>
  <c r="M24" i="7"/>
  <c r="D12" i="6"/>
  <c r="I12" i="7"/>
  <c r="D90" i="6"/>
  <c r="I90" i="7"/>
  <c r="D66" i="6"/>
  <c r="I66" i="7"/>
  <c r="D93" i="7"/>
  <c r="M93" i="7"/>
  <c r="J93" i="7"/>
  <c r="B93" i="6"/>
  <c r="G93" i="7"/>
  <c r="M135" i="7"/>
  <c r="B135" i="6"/>
  <c r="J135" i="7"/>
  <c r="D135" i="7"/>
  <c r="G135" i="7"/>
  <c r="K71" i="7"/>
  <c r="G130" i="7"/>
  <c r="B130" i="6"/>
  <c r="D130" i="7"/>
  <c r="J130" i="7"/>
  <c r="M130" i="7"/>
  <c r="I53" i="7"/>
  <c r="D53" i="6"/>
  <c r="G148" i="7"/>
  <c r="D148" i="7"/>
  <c r="B148" i="6"/>
  <c r="J148" i="7"/>
  <c r="M148" i="7"/>
  <c r="M21" i="7"/>
  <c r="J21" i="7"/>
  <c r="D21" i="7"/>
  <c r="B21" i="6"/>
  <c r="G21" i="7"/>
  <c r="M7" i="7"/>
  <c r="D7" i="7"/>
  <c r="B7" i="6"/>
  <c r="J7" i="7"/>
  <c r="G7" i="7"/>
  <c r="D65" i="6"/>
  <c r="I65" i="7"/>
  <c r="B72" i="6"/>
  <c r="D72" i="7"/>
  <c r="M72" i="7"/>
  <c r="G72" i="7"/>
  <c r="J72" i="7"/>
  <c r="B45" i="7"/>
  <c r="B25" i="7"/>
  <c r="D37" i="6"/>
  <c r="I37" i="7"/>
  <c r="I75" i="7"/>
  <c r="D75" i="6"/>
  <c r="E69" i="7"/>
  <c r="E145" i="7"/>
  <c r="D36" i="6"/>
  <c r="I36" i="7"/>
  <c r="D32" i="6"/>
  <c r="I32" i="7"/>
  <c r="D122" i="6"/>
  <c r="I122" i="7"/>
  <c r="D68" i="7"/>
  <c r="G68" i="7"/>
  <c r="B68" i="6"/>
  <c r="M68" i="7"/>
  <c r="J68" i="7"/>
  <c r="D20" i="12"/>
  <c r="K100" i="7"/>
  <c r="I39" i="7"/>
  <c r="D39" i="6"/>
  <c r="D59" i="6"/>
  <c r="I59" i="7"/>
  <c r="B129" i="6"/>
  <c r="D129" i="7"/>
  <c r="G129" i="7"/>
  <c r="M129" i="7"/>
  <c r="J129" i="7"/>
  <c r="I95" i="7"/>
  <c r="D95" i="6"/>
  <c r="B154" i="6"/>
  <c r="G154" i="7"/>
  <c r="M154" i="7"/>
  <c r="D154" i="7"/>
  <c r="J154" i="7"/>
  <c r="E131" i="7"/>
  <c r="B17" i="7"/>
  <c r="E122" i="7"/>
  <c r="B103" i="7"/>
  <c r="B62" i="7"/>
  <c r="E79" i="7"/>
  <c r="D137" i="6"/>
  <c r="I137" i="7"/>
  <c r="K85" i="7"/>
  <c r="B114" i="6"/>
  <c r="D114" i="7"/>
  <c r="J114" i="7"/>
  <c r="G114" i="7"/>
  <c r="M114" i="7"/>
  <c r="G34" i="7"/>
  <c r="B34" i="6"/>
  <c r="M34" i="7"/>
  <c r="J34" i="7"/>
  <c r="D34" i="7"/>
  <c r="I106" i="7"/>
  <c r="D106" i="6"/>
  <c r="D30" i="6"/>
  <c r="I30" i="7"/>
  <c r="B68" i="7"/>
  <c r="B81" i="7"/>
  <c r="H46" i="7"/>
  <c r="D65" i="7"/>
  <c r="J65" i="7"/>
  <c r="G65" i="7"/>
  <c r="M65" i="7"/>
  <c r="B65" i="6"/>
  <c r="G64" i="7"/>
  <c r="J64" i="7"/>
  <c r="B64" i="6"/>
  <c r="D64" i="7"/>
  <c r="M64" i="7"/>
  <c r="B67" i="7"/>
  <c r="E154" i="7"/>
  <c r="H132" i="7"/>
  <c r="B51" i="7"/>
  <c r="B153" i="7"/>
  <c r="D81" i="6"/>
  <c r="I81" i="7"/>
  <c r="H81" i="7"/>
  <c r="G97" i="7"/>
  <c r="D97" i="7"/>
  <c r="M97" i="7"/>
  <c r="J97" i="7"/>
  <c r="B97" i="6"/>
  <c r="D78" i="6"/>
  <c r="I78" i="7"/>
  <c r="H19" i="7"/>
  <c r="I57" i="7"/>
  <c r="D57" i="6"/>
  <c r="G105" i="7"/>
  <c r="M105" i="7"/>
  <c r="B105" i="6"/>
  <c r="D105" i="7"/>
  <c r="J105" i="7"/>
  <c r="E136" i="7"/>
  <c r="I21" i="7"/>
  <c r="D21" i="6"/>
  <c r="H29" i="7"/>
  <c r="K62" i="7"/>
  <c r="K35" i="7"/>
  <c r="K15" i="7"/>
  <c r="I123" i="7"/>
  <c r="D123" i="6"/>
  <c r="I139" i="7"/>
  <c r="D139" i="6"/>
  <c r="D23" i="6"/>
  <c r="I23" i="7"/>
  <c r="J80" i="7"/>
  <c r="M80" i="7"/>
  <c r="D80" i="7"/>
  <c r="G80" i="7"/>
  <c r="B80" i="6"/>
  <c r="I61" i="7"/>
  <c r="D61" i="6"/>
  <c r="K126" i="7"/>
  <c r="D74" i="6"/>
  <c r="I74" i="7"/>
  <c r="D55" i="6"/>
  <c r="I55" i="7"/>
  <c r="H147" i="7"/>
  <c r="D144" i="6"/>
  <c r="I144" i="7"/>
  <c r="I135" i="7"/>
  <c r="D135" i="6"/>
  <c r="M27" i="7"/>
  <c r="J27" i="7"/>
  <c r="G27" i="7"/>
  <c r="D27" i="7"/>
  <c r="B27" i="6"/>
  <c r="H154" i="7"/>
  <c r="B37" i="7"/>
  <c r="B56" i="7"/>
  <c r="H153" i="7"/>
  <c r="J40" i="7"/>
  <c r="D40" i="7"/>
  <c r="G40" i="7"/>
  <c r="B40" i="6"/>
  <c r="M40" i="7"/>
  <c r="G82" i="7"/>
  <c r="M82" i="7"/>
  <c r="B82" i="6"/>
  <c r="D82" i="7"/>
  <c r="J82" i="7"/>
  <c r="G111" i="7"/>
  <c r="M111" i="7"/>
  <c r="B111" i="6"/>
  <c r="D111" i="7"/>
  <c r="J111" i="7"/>
  <c r="D22" i="12"/>
  <c r="M16" i="7"/>
  <c r="B16" i="6"/>
  <c r="D16" i="7"/>
  <c r="G16" i="7"/>
  <c r="J16" i="7"/>
  <c r="K113" i="7"/>
  <c r="H151" i="7"/>
  <c r="H95" i="7"/>
  <c r="B18" i="6"/>
  <c r="J18" i="7"/>
  <c r="G18" i="7"/>
  <c r="D18" i="7"/>
  <c r="M18" i="7"/>
  <c r="D151" i="6"/>
  <c r="I151" i="7"/>
  <c r="B86" i="7"/>
  <c r="B85" i="7"/>
  <c r="I71" i="7"/>
  <c r="D71" i="6"/>
  <c r="K125" i="7"/>
  <c r="D5" i="6"/>
  <c r="I5" i="7"/>
  <c r="D41" i="6"/>
  <c r="I41" i="7"/>
  <c r="B16" i="7"/>
  <c r="B124" i="7"/>
  <c r="D21" i="12"/>
  <c r="H120" i="7"/>
  <c r="B95" i="7"/>
  <c r="B77" i="7"/>
  <c r="J73" i="7"/>
  <c r="M73" i="7"/>
  <c r="B73" i="6"/>
  <c r="D73" i="7"/>
  <c r="G73" i="7"/>
  <c r="K139" i="7"/>
  <c r="K9" i="7"/>
  <c r="D40" i="6"/>
  <c r="I40" i="7"/>
  <c r="E62" i="7"/>
  <c r="K106" i="7"/>
  <c r="I44" i="7"/>
  <c r="D44" i="6"/>
  <c r="B23" i="7"/>
  <c r="E68" i="7"/>
  <c r="G67" i="7"/>
  <c r="M67" i="7"/>
  <c r="J67" i="7"/>
  <c r="D67" i="7"/>
  <c r="B67" i="6"/>
  <c r="M123" i="7"/>
  <c r="D123" i="7"/>
  <c r="J123" i="7"/>
  <c r="B123" i="6"/>
  <c r="G123" i="7"/>
  <c r="H123" i="7"/>
  <c r="D55" i="7"/>
  <c r="G55" i="7"/>
  <c r="M55" i="7"/>
  <c r="J55" i="7"/>
  <c r="B55" i="6"/>
  <c r="E57" i="7"/>
  <c r="H32" i="7"/>
  <c r="E34" i="7"/>
  <c r="E85" i="7"/>
  <c r="E16" i="7"/>
  <c r="B134" i="7"/>
  <c r="H144" i="7"/>
  <c r="B48" i="7"/>
  <c r="H99" i="7"/>
  <c r="D70" i="6"/>
  <c r="I70" i="7"/>
  <c r="B57" i="7"/>
  <c r="K44" i="7"/>
  <c r="I43" i="7"/>
  <c r="D43" i="6"/>
  <c r="M3" i="7"/>
  <c r="G3" i="7"/>
  <c r="J3" i="7"/>
  <c r="B3" i="6"/>
  <c r="D3" i="7"/>
  <c r="D142" i="6"/>
  <c r="I142" i="7"/>
  <c r="K153" i="7"/>
  <c r="B18" i="7"/>
  <c r="D13" i="6"/>
  <c r="I13" i="7"/>
  <c r="H11" i="7"/>
  <c r="B131" i="7"/>
  <c r="H98" i="7"/>
  <c r="D127" i="6"/>
  <c r="I127" i="7"/>
  <c r="D98" i="7"/>
  <c r="M98" i="7"/>
  <c r="J98" i="7"/>
  <c r="G98" i="7"/>
  <c r="B98" i="6"/>
  <c r="I48" i="7"/>
  <c r="D48" i="6"/>
  <c r="I34" i="7"/>
  <c r="D34" i="6"/>
  <c r="K146" i="7"/>
  <c r="I136" i="7"/>
  <c r="D136" i="6"/>
  <c r="D24" i="6"/>
  <c r="I24" i="7"/>
  <c r="J115" i="7"/>
  <c r="M115" i="7"/>
  <c r="D115" i="7"/>
  <c r="G115" i="7"/>
  <c r="B115" i="6"/>
  <c r="J87" i="7"/>
  <c r="G87" i="7"/>
  <c r="B87" i="6"/>
  <c r="M87" i="7"/>
  <c r="D87" i="7"/>
  <c r="B83" i="6"/>
  <c r="G83" i="7"/>
  <c r="J83" i="7"/>
  <c r="M83" i="7"/>
  <c r="D83" i="7"/>
  <c r="E89" i="7"/>
  <c r="D104" i="6"/>
  <c r="I104" i="7"/>
  <c r="B113" i="6"/>
  <c r="M113" i="7"/>
  <c r="J113" i="7"/>
  <c r="D113" i="7"/>
  <c r="G113" i="7"/>
  <c r="E88" i="7"/>
  <c r="B122" i="7"/>
  <c r="G32" i="7"/>
  <c r="D32" i="7"/>
  <c r="J32" i="7"/>
  <c r="B32" i="6"/>
  <c r="M32" i="7"/>
  <c r="D153" i="7"/>
  <c r="B153" i="6"/>
  <c r="G153" i="7"/>
  <c r="J153" i="7"/>
  <c r="M153" i="7"/>
  <c r="B108" i="7"/>
  <c r="K127" i="7"/>
  <c r="B144" i="7"/>
  <c r="E96" i="7"/>
  <c r="I9" i="7"/>
  <c r="D9" i="6"/>
  <c r="J13" i="7"/>
  <c r="G13" i="7"/>
  <c r="D13" i="7"/>
  <c r="B13" i="6"/>
  <c r="M13" i="7"/>
  <c r="D103" i="6"/>
  <c r="I103" i="7"/>
  <c r="E115" i="7"/>
  <c r="K120" i="7"/>
  <c r="K19" i="7"/>
  <c r="D62" i="6"/>
  <c r="I62" i="7"/>
  <c r="M89" i="7"/>
  <c r="G89" i="7"/>
  <c r="D89" i="7"/>
  <c r="B89" i="6"/>
  <c r="J89" i="7"/>
  <c r="B99" i="6"/>
  <c r="G99" i="7"/>
  <c r="M99" i="7"/>
  <c r="J99" i="7"/>
  <c r="D99" i="7"/>
  <c r="K66" i="7"/>
  <c r="B76" i="7"/>
  <c r="K42" i="7"/>
  <c r="H40" i="7"/>
  <c r="B152" i="7"/>
  <c r="I89" i="7"/>
  <c r="D89" i="6"/>
  <c r="H50" i="7"/>
  <c r="E153" i="7"/>
  <c r="I119" i="7"/>
  <c r="D119" i="6"/>
  <c r="J31" i="7"/>
  <c r="G31" i="7"/>
  <c r="D31" i="7"/>
  <c r="M31" i="7"/>
  <c r="B31" i="6"/>
  <c r="E12" i="7"/>
  <c r="B74" i="7"/>
  <c r="B21" i="7"/>
  <c r="B154" i="7"/>
  <c r="G48" i="7"/>
  <c r="M48" i="7"/>
  <c r="J48" i="7"/>
  <c r="B48" i="6"/>
  <c r="D48" i="7"/>
  <c r="D43" i="7"/>
  <c r="M43" i="7"/>
  <c r="J43" i="7"/>
  <c r="G43" i="7"/>
  <c r="B43" i="6"/>
  <c r="H140" i="7"/>
  <c r="D22" i="7"/>
  <c r="G22" i="7"/>
  <c r="B22" i="6"/>
  <c r="M22" i="7"/>
  <c r="J22" i="7"/>
  <c r="K32" i="7"/>
  <c r="E90" i="7"/>
  <c r="I96" i="7"/>
  <c r="D96" i="6"/>
  <c r="I76" i="7"/>
  <c r="D76" i="6"/>
  <c r="K64" i="7"/>
  <c r="J100" i="7"/>
  <c r="B100" i="6"/>
  <c r="M100" i="7"/>
  <c r="G100" i="7"/>
  <c r="D100" i="7"/>
  <c r="B27" i="7"/>
  <c r="H9" i="7"/>
  <c r="K150" i="7"/>
  <c r="K7" i="7"/>
  <c r="E114" i="7"/>
  <c r="B24" i="7"/>
  <c r="K119" i="7"/>
  <c r="E112" i="7"/>
  <c r="K110" i="7"/>
  <c r="J81" i="7"/>
  <c r="D81" i="7"/>
  <c r="G81" i="7"/>
  <c r="M81" i="7"/>
  <c r="B81" i="6"/>
  <c r="H51" i="7"/>
  <c r="H112" i="7"/>
  <c r="E64" i="7"/>
  <c r="E49" i="7"/>
  <c r="K38" i="7"/>
  <c r="E50" i="7"/>
  <c r="K118" i="7"/>
  <c r="M6" i="7"/>
  <c r="J6" i="7"/>
  <c r="G6" i="7"/>
  <c r="B6" i="6"/>
  <c r="D6" i="7"/>
  <c r="H15" i="7"/>
  <c r="B104" i="7"/>
  <c r="H63" i="7"/>
  <c r="E74" i="7"/>
  <c r="K24" i="7"/>
  <c r="E118" i="7"/>
  <c r="B63" i="6"/>
  <c r="M63" i="7"/>
  <c r="G63" i="7"/>
  <c r="J63" i="7"/>
  <c r="D63" i="7"/>
  <c r="H110" i="7"/>
  <c r="D110" i="7"/>
  <c r="J110" i="7"/>
  <c r="M110" i="7"/>
  <c r="G110" i="7"/>
  <c r="B110" i="6"/>
  <c r="I113" i="7"/>
  <c r="D113" i="6"/>
  <c r="M127" i="7"/>
  <c r="B127" i="6"/>
  <c r="G127" i="7"/>
  <c r="D127" i="7"/>
  <c r="J127" i="7"/>
  <c r="M58" i="7"/>
  <c r="G58" i="7"/>
  <c r="J58" i="7"/>
  <c r="B58" i="6"/>
  <c r="D58" i="7"/>
  <c r="B155" i="6"/>
  <c r="G155" i="7"/>
  <c r="J155" i="7"/>
  <c r="D155" i="7"/>
  <c r="M155" i="7"/>
  <c r="G17" i="7"/>
  <c r="M17" i="7"/>
  <c r="J17" i="7"/>
  <c r="D17" i="7"/>
  <c r="B17" i="6"/>
  <c r="D131" i="7"/>
  <c r="B131" i="6"/>
  <c r="M131" i="7"/>
  <c r="G131" i="7"/>
  <c r="J131" i="7"/>
  <c r="I130" i="7"/>
  <c r="D130" i="6"/>
  <c r="B49" i="7"/>
  <c r="H142" i="7"/>
  <c r="K95" i="7"/>
  <c r="I147" i="7"/>
  <c r="D147" i="6"/>
  <c r="B49" i="6"/>
  <c r="J49" i="7"/>
  <c r="D49" i="7"/>
  <c r="M49" i="7"/>
  <c r="G49" i="7"/>
  <c r="E52" i="7"/>
  <c r="B25" i="6"/>
  <c r="M25" i="7"/>
  <c r="G25" i="7"/>
  <c r="J25" i="7"/>
  <c r="D25" i="7"/>
  <c r="B107" i="7"/>
  <c r="B136" i="7"/>
  <c r="E70" i="7"/>
  <c r="D11" i="6"/>
  <c r="I11" i="7"/>
  <c r="D149" i="7"/>
  <c r="J149" i="7"/>
  <c r="G149" i="7"/>
  <c r="B149" i="6"/>
  <c r="M149" i="7"/>
  <c r="H146" i="7"/>
  <c r="D150" i="7"/>
  <c r="J150" i="7"/>
  <c r="G150" i="7"/>
  <c r="M150" i="7"/>
  <c r="B150" i="6"/>
  <c r="E146" i="7"/>
  <c r="I27" i="7"/>
  <c r="D27" i="6"/>
  <c r="D88" i="6"/>
  <c r="I88" i="7"/>
  <c r="B117" i="7"/>
  <c r="I46" i="7"/>
  <c r="D46" i="6"/>
  <c r="I126" i="7"/>
  <c r="D126" i="6"/>
  <c r="D124" i="6"/>
  <c r="I124" i="7"/>
  <c r="E9" i="7"/>
  <c r="D3" i="12"/>
  <c r="E33" i="7"/>
  <c r="H16" i="7"/>
  <c r="K8" i="7"/>
  <c r="K26" i="7"/>
  <c r="B120" i="7"/>
  <c r="B44" i="7"/>
  <c r="K132" i="7"/>
  <c r="I4" i="7"/>
  <c r="D4" i="6"/>
  <c r="H88" i="7"/>
  <c r="D133" i="6"/>
  <c r="I133" i="7"/>
  <c r="D155" i="6"/>
  <c r="I155" i="7"/>
  <c r="E73" i="7"/>
  <c r="E95" i="7"/>
  <c r="B33" i="7"/>
  <c r="E6" i="7"/>
  <c r="K99" i="7"/>
  <c r="B151" i="7"/>
  <c r="K83" i="7"/>
  <c r="B110" i="7"/>
  <c r="E22" i="7"/>
  <c r="I7" i="7"/>
  <c r="D7" i="6"/>
  <c r="I79" i="7"/>
  <c r="D79" i="6"/>
  <c r="K63" i="7"/>
  <c r="K39" i="7"/>
  <c r="B129" i="7"/>
  <c r="K92" i="7"/>
  <c r="E139" i="7"/>
  <c r="B93" i="7"/>
  <c r="B64" i="7"/>
  <c r="K75" i="7"/>
  <c r="G108" i="7"/>
  <c r="M108" i="7"/>
  <c r="D108" i="7"/>
  <c r="J108" i="7"/>
  <c r="B108" i="6"/>
  <c r="D47" i="6"/>
  <c r="I47" i="7"/>
  <c r="B43" i="7"/>
  <c r="D56" i="6"/>
  <c r="I56" i="7"/>
  <c r="B145" i="7"/>
  <c r="I87" i="7"/>
  <c r="D87" i="6"/>
  <c r="B20" i="7"/>
  <c r="D94" i="6"/>
  <c r="I94" i="7"/>
  <c r="E125" i="7"/>
  <c r="E44" i="7"/>
  <c r="B39" i="7"/>
  <c r="K17" i="7"/>
  <c r="I60" i="7"/>
  <c r="D60" i="6"/>
  <c r="B34" i="7"/>
  <c r="I45" i="7"/>
  <c r="D45" i="6"/>
  <c r="H107" i="7"/>
  <c r="M33" i="7"/>
  <c r="D33" i="7"/>
  <c r="B33" i="6"/>
  <c r="J33" i="7"/>
  <c r="G33" i="7"/>
  <c r="H67" i="7"/>
  <c r="D77" i="6"/>
  <c r="I77" i="7"/>
  <c r="K20" i="7"/>
  <c r="K74" i="7"/>
  <c r="J71" i="7"/>
  <c r="M71" i="7"/>
  <c r="G71" i="7"/>
  <c r="D71" i="7"/>
  <c r="B71" i="6"/>
  <c r="E138" i="7"/>
  <c r="H66" i="7"/>
  <c r="E17" i="7"/>
  <c r="K121" i="7"/>
  <c r="H135" i="7"/>
  <c r="M96" i="7"/>
  <c r="J96" i="7"/>
  <c r="B96" i="6"/>
  <c r="G96" i="7"/>
  <c r="D96" i="7"/>
  <c r="H129" i="7"/>
  <c r="D132" i="6"/>
  <c r="I132" i="7"/>
  <c r="B142" i="6"/>
  <c r="M142" i="7"/>
  <c r="G142" i="7"/>
  <c r="J142" i="7"/>
  <c r="D142" i="7"/>
  <c r="B96" i="7"/>
  <c r="D58" i="6"/>
  <c r="I58" i="7"/>
  <c r="D61" i="7"/>
  <c r="J61" i="7"/>
  <c r="G61" i="7"/>
  <c r="M61" i="7"/>
  <c r="B61" i="6"/>
  <c r="M76" i="7"/>
  <c r="J76" i="7"/>
  <c r="B76" i="6"/>
  <c r="G76" i="7"/>
  <c r="D76" i="7"/>
  <c r="D117" i="6"/>
  <c r="I117" i="7"/>
  <c r="B134" i="6"/>
  <c r="G134" i="7"/>
  <c r="J134" i="7"/>
  <c r="M134" i="7"/>
  <c r="D134" i="7"/>
  <c r="M91" i="7"/>
  <c r="J91" i="7"/>
  <c r="B91" i="6"/>
  <c r="G91" i="7"/>
  <c r="D91" i="7"/>
  <c r="J51" i="7"/>
  <c r="B51" i="6"/>
  <c r="M51" i="7"/>
  <c r="D51" i="7"/>
  <c r="G51" i="7"/>
  <c r="J86" i="7"/>
  <c r="B86" i="6"/>
  <c r="G86" i="7"/>
  <c r="D86" i="7"/>
  <c r="M86" i="7"/>
  <c r="K11" i="7"/>
  <c r="M57" i="7"/>
  <c r="J57" i="7"/>
  <c r="B57" i="6"/>
  <c r="D57" i="7"/>
  <c r="G57" i="7"/>
  <c r="B61" i="7"/>
  <c r="I129" i="7"/>
  <c r="D129" i="6"/>
  <c r="B65" i="7"/>
  <c r="B75" i="6"/>
  <c r="M75" i="7"/>
  <c r="J75" i="7"/>
  <c r="G75" i="7"/>
  <c r="D75" i="7"/>
  <c r="I84" i="7"/>
  <c r="D84" i="6"/>
  <c r="H53" i="7"/>
  <c r="D149" i="6"/>
  <c r="I149" i="7"/>
  <c r="B121" i="6"/>
  <c r="D121" i="7"/>
  <c r="J121" i="7"/>
  <c r="G121" i="7"/>
  <c r="M121" i="7"/>
  <c r="I16" i="7"/>
  <c r="D16" i="6"/>
  <c r="J126" i="7"/>
  <c r="M126" i="7"/>
  <c r="G126" i="7"/>
  <c r="D126" i="7"/>
  <c r="B126" i="6"/>
  <c r="B109" i="7"/>
  <c r="B137" i="7"/>
  <c r="J66" i="7"/>
  <c r="G66" i="7"/>
  <c r="M66" i="7"/>
  <c r="B66" i="6"/>
  <c r="D66" i="7"/>
  <c r="D79" i="7"/>
  <c r="M79" i="7"/>
  <c r="J79" i="7"/>
  <c r="G79" i="7"/>
  <c r="B79" i="6"/>
  <c r="K10" i="7"/>
  <c r="B58" i="7"/>
  <c r="D140" i="7"/>
  <c r="J140" i="7"/>
  <c r="B140" i="6"/>
  <c r="M140" i="7"/>
  <c r="G140" i="7"/>
  <c r="H20" i="7"/>
  <c r="K67" i="7"/>
  <c r="D22" i="6"/>
  <c r="I22" i="7"/>
  <c r="D145" i="6"/>
  <c r="I145" i="7"/>
  <c r="E86" i="7"/>
  <c r="E127" i="7"/>
  <c r="B70" i="6"/>
  <c r="G70" i="7"/>
  <c r="M70" i="7"/>
  <c r="J70" i="7"/>
  <c r="D70" i="7"/>
  <c r="D109" i="6"/>
  <c r="I109" i="7"/>
  <c r="D112" i="7"/>
  <c r="B112" i="6"/>
  <c r="G112" i="7"/>
  <c r="J112" i="7"/>
  <c r="M112" i="7"/>
  <c r="E106" i="7"/>
  <c r="I125" i="7"/>
  <c r="D125" i="6"/>
  <c r="I6" i="7"/>
  <c r="D6" i="6"/>
  <c r="K52" i="7"/>
  <c r="B31" i="7"/>
  <c r="I100" i="7"/>
  <c r="D100" i="6"/>
  <c r="K76" i="7"/>
  <c r="B7" i="7"/>
  <c r="K12" i="7"/>
  <c r="K6" i="7"/>
  <c r="J14" i="7"/>
  <c r="M14" i="7"/>
  <c r="D14" i="7"/>
  <c r="G14" i="7"/>
  <c r="B14" i="6"/>
  <c r="K56" i="7"/>
  <c r="D42" i="7"/>
  <c r="J42" i="7"/>
  <c r="G42" i="7"/>
  <c r="M42" i="7"/>
  <c r="B42" i="6"/>
  <c r="B26" i="7"/>
  <c r="H22" i="7"/>
  <c r="B63" i="7"/>
  <c r="B91" i="7"/>
  <c r="M132" i="7"/>
  <c r="J132" i="7"/>
  <c r="G132" i="7"/>
  <c r="B132" i="6"/>
  <c r="D132" i="7"/>
  <c r="B75" i="7"/>
  <c r="B94" i="7"/>
  <c r="J104" i="7"/>
  <c r="G104" i="7"/>
  <c r="B104" i="6"/>
  <c r="D104" i="7"/>
  <c r="M104" i="7"/>
  <c r="E43" i="7"/>
  <c r="E103" i="7"/>
  <c r="J5" i="7"/>
  <c r="D5" i="7"/>
  <c r="G5" i="7"/>
  <c r="B5" i="6"/>
  <c r="M5" i="7"/>
  <c r="E66" i="7"/>
  <c r="E37" i="7"/>
  <c r="D64" i="6"/>
  <c r="I64" i="7"/>
  <c r="K129" i="7"/>
  <c r="E11" i="7"/>
  <c r="H30" i="7"/>
  <c r="K91" i="7"/>
  <c r="J3" i="8"/>
  <c r="D8" i="12"/>
  <c r="D29" i="12"/>
  <c r="D93" i="6"/>
  <c r="I93" i="7"/>
  <c r="H109" i="7"/>
  <c r="E27" i="7"/>
  <c r="D19" i="12"/>
  <c r="D56" i="7"/>
  <c r="B56" i="6"/>
  <c r="J56" i="7"/>
  <c r="G56" i="7"/>
  <c r="M56" i="7"/>
  <c r="J4" i="7"/>
  <c r="B4" i="6"/>
  <c r="M4" i="7"/>
  <c r="G4" i="7"/>
  <c r="D4" i="7"/>
  <c r="I91" i="7"/>
  <c r="D91" i="6"/>
  <c r="H114" i="7"/>
  <c r="D92" i="7"/>
  <c r="J92" i="7"/>
  <c r="M92" i="7"/>
  <c r="B92" i="6"/>
  <c r="G92" i="7"/>
  <c r="K143" i="7"/>
  <c r="D138" i="7"/>
  <c r="G138" i="7"/>
  <c r="B138" i="6"/>
  <c r="M138" i="7"/>
  <c r="J138" i="7"/>
  <c r="J10" i="7"/>
  <c r="M10" i="7"/>
  <c r="G10" i="7"/>
  <c r="B10" i="6"/>
  <c r="D10" i="7"/>
  <c r="G124" i="7"/>
  <c r="B124" i="6"/>
  <c r="M124" i="7"/>
  <c r="D124" i="7"/>
  <c r="J124" i="7"/>
  <c r="G9" i="7"/>
  <c r="J9" i="7"/>
  <c r="D9" i="7"/>
  <c r="B9" i="6"/>
  <c r="M9" i="7"/>
  <c r="B151" i="6"/>
  <c r="D151" i="7"/>
  <c r="G151" i="7"/>
  <c r="J151" i="7"/>
  <c r="M151" i="7"/>
  <c r="D111" i="6"/>
  <c r="I111" i="7"/>
  <c r="B101" i="6"/>
  <c r="J101" i="7"/>
  <c r="G101" i="7"/>
  <c r="M101" i="7"/>
  <c r="D101" i="7"/>
  <c r="D143" i="7"/>
  <c r="J143" i="7"/>
  <c r="B143" i="6"/>
  <c r="M143" i="7"/>
  <c r="G143" i="7"/>
  <c r="D88" i="7"/>
  <c r="B88" i="6"/>
  <c r="J88" i="7"/>
  <c r="M88" i="7"/>
  <c r="G88" i="7"/>
  <c r="B78" i="6"/>
  <c r="M78" i="7"/>
  <c r="J78" i="7"/>
  <c r="D78" i="7"/>
  <c r="G78" i="7"/>
  <c r="D103" i="7"/>
  <c r="J103" i="7"/>
  <c r="G103" i="7"/>
  <c r="B103" i="6"/>
  <c r="M103" i="7"/>
  <c r="I29" i="7"/>
  <c r="D29" i="6"/>
  <c r="D146" i="6"/>
  <c r="I146" i="7"/>
  <c r="E101" i="7"/>
  <c r="I28" i="7"/>
  <c r="D28" i="6"/>
  <c r="E4" i="7"/>
  <c r="H96" i="7"/>
  <c r="I17" i="7"/>
  <c r="D17" i="6"/>
  <c r="J59" i="7"/>
  <c r="G59" i="7"/>
  <c r="B59" i="6"/>
  <c r="D59" i="7"/>
  <c r="M59" i="7"/>
  <c r="D26" i="12"/>
  <c r="B66" i="7"/>
  <c r="E108" i="7"/>
  <c r="I105" i="7"/>
  <c r="D105" i="6"/>
  <c r="H104" i="7"/>
  <c r="H44" i="7"/>
  <c r="E141" i="7"/>
  <c r="K13" i="7"/>
  <c r="H106" i="7"/>
  <c r="K137" i="7"/>
  <c r="B121" i="7"/>
  <c r="D3" i="8"/>
  <c r="D2" i="12"/>
  <c r="I35" i="7"/>
  <c r="D35" i="6"/>
  <c r="B126" i="7"/>
  <c r="B50" i="7"/>
  <c r="I18" i="7"/>
  <c r="D18" i="6"/>
  <c r="E100" i="7"/>
  <c r="H117" i="7"/>
  <c r="H69" i="7"/>
  <c r="H138" i="7"/>
  <c r="E87" i="7"/>
  <c r="I92" i="7"/>
  <c r="D92" i="6"/>
  <c r="E78" i="7"/>
  <c r="I15" i="7"/>
  <c r="D15" i="6"/>
  <c r="E14" i="7"/>
  <c r="B127" i="7"/>
  <c r="H82" i="7"/>
  <c r="H89" i="7"/>
  <c r="B130" i="7"/>
  <c r="B45" i="6"/>
  <c r="D45" i="7"/>
  <c r="J45" i="7"/>
  <c r="G45" i="7"/>
  <c r="M45" i="7"/>
  <c r="D98" i="6"/>
  <c r="I98" i="7"/>
  <c r="I154" i="7"/>
  <c r="D154" i="6"/>
  <c r="E54" i="7"/>
  <c r="K18" i="7"/>
  <c r="B19" i="7"/>
  <c r="B11" i="6"/>
  <c r="D11" i="7"/>
  <c r="G11" i="7"/>
  <c r="J11" i="7"/>
  <c r="M11" i="7"/>
  <c r="B143" i="7"/>
  <c r="B85" i="6"/>
  <c r="D85" i="7"/>
  <c r="G85" i="7"/>
  <c r="M85" i="7"/>
  <c r="J85" i="7"/>
  <c r="H130" i="7"/>
  <c r="J37" i="7"/>
  <c r="D37" i="7"/>
  <c r="B37" i="6"/>
  <c r="G37" i="7"/>
  <c r="M37" i="7"/>
  <c r="H86" i="7"/>
  <c r="J90" i="7"/>
  <c r="B90" i="6"/>
  <c r="G90" i="7"/>
  <c r="M90" i="7"/>
  <c r="D90" i="7"/>
  <c r="E94" i="7"/>
  <c r="B10" i="7"/>
  <c r="B69" i="7"/>
  <c r="H23" i="7"/>
  <c r="G60" i="7"/>
  <c r="B60" i="6"/>
  <c r="M60" i="7"/>
  <c r="J60" i="7"/>
  <c r="D60" i="7"/>
  <c r="H36" i="7"/>
  <c r="E28" i="7"/>
  <c r="E15" i="7"/>
  <c r="I19" i="7"/>
  <c r="D19" i="6"/>
  <c r="H127" i="7"/>
  <c r="I38" i="7"/>
  <c r="D38" i="6"/>
  <c r="H118" i="7"/>
  <c r="E71" i="7"/>
  <c r="H121" i="7"/>
  <c r="D144" i="7"/>
  <c r="G144" i="7"/>
  <c r="J144" i="7"/>
  <c r="M144" i="7"/>
  <c r="B144" i="6"/>
  <c r="J109" i="7"/>
  <c r="B109" i="6"/>
  <c r="D109" i="7"/>
  <c r="M109" i="7"/>
  <c r="G109" i="7"/>
  <c r="M38" i="7"/>
  <c r="D38" i="7"/>
  <c r="B38" i="6"/>
  <c r="J38" i="7"/>
  <c r="G38" i="7"/>
  <c r="B19" i="6"/>
  <c r="J19" i="7"/>
  <c r="D19" i="7"/>
  <c r="G19" i="7"/>
  <c r="M19" i="7"/>
  <c r="D101" i="6"/>
  <c r="I101" i="7"/>
  <c r="M145" i="7"/>
  <c r="B145" i="6"/>
  <c r="J145" i="7"/>
  <c r="G145" i="7"/>
  <c r="D145" i="7"/>
  <c r="I85" i="7"/>
  <c r="D85" i="6"/>
  <c r="M139" i="7"/>
  <c r="D139" i="7"/>
  <c r="B139" i="6"/>
  <c r="G139" i="7"/>
  <c r="J139" i="7"/>
  <c r="D36" i="12"/>
  <c r="B98" i="7"/>
  <c r="B133" i="7"/>
  <c r="D143" i="6"/>
  <c r="I143" i="7"/>
  <c r="H52" i="7"/>
  <c r="D128" i="6"/>
  <c r="I128" i="7"/>
  <c r="B38" i="7"/>
  <c r="D125" i="7"/>
  <c r="J125" i="7"/>
  <c r="M125" i="7"/>
  <c r="B125" i="6"/>
  <c r="G125" i="7"/>
  <c r="D30" i="12"/>
  <c r="B147" i="6"/>
  <c r="G147" i="7"/>
  <c r="D147" i="7"/>
  <c r="M147" i="7"/>
  <c r="J147" i="7"/>
  <c r="H18" i="7"/>
  <c r="D110" i="6"/>
  <c r="I110" i="7"/>
  <c r="D62" i="7"/>
  <c r="M62" i="7"/>
  <c r="G62" i="7"/>
  <c r="B62" i="6"/>
  <c r="J62" i="7"/>
  <c r="K138" i="7"/>
  <c r="D152" i="7"/>
  <c r="M152" i="7"/>
  <c r="J152" i="7"/>
  <c r="G152" i="7"/>
  <c r="B152" i="6"/>
  <c r="D3" i="6"/>
  <c r="I3" i="7"/>
  <c r="I118" i="7"/>
  <c r="D118" i="6"/>
  <c r="E149" i="7"/>
  <c r="D150" i="6"/>
  <c r="I150" i="7"/>
  <c r="I49" i="7"/>
  <c r="D49" i="6"/>
  <c r="I114" i="7"/>
  <c r="D114" i="6"/>
  <c r="B113" i="7"/>
  <c r="B99" i="7"/>
  <c r="E35" i="7"/>
  <c r="I25" i="7"/>
  <c r="D25" i="6"/>
  <c r="D102" i="6"/>
  <c r="I102" i="7"/>
  <c r="B40" i="7"/>
  <c r="D20" i="7"/>
  <c r="B20" i="6"/>
  <c r="J20" i="7"/>
  <c r="M20" i="7"/>
  <c r="G20" i="7"/>
  <c r="H60" i="7"/>
  <c r="D122" i="7"/>
  <c r="J122" i="7"/>
  <c r="B122" i="6"/>
  <c r="G122" i="7"/>
  <c r="M122" i="7"/>
  <c r="D69" i="6"/>
  <c r="I69" i="7"/>
  <c r="J141" i="7"/>
  <c r="M141" i="7"/>
  <c r="G141" i="7"/>
  <c r="B141" i="6"/>
  <c r="D141" i="7"/>
  <c r="M23" i="7"/>
  <c r="J23" i="7"/>
  <c r="D23" i="7"/>
  <c r="B23" i="6"/>
  <c r="G23" i="7"/>
  <c r="B106" i="7"/>
  <c r="D84" i="7"/>
  <c r="B84" i="6"/>
  <c r="M84" i="7"/>
  <c r="G84" i="7"/>
  <c r="J84" i="7"/>
  <c r="E7" i="7"/>
  <c r="H39" i="7"/>
  <c r="B44" i="6"/>
  <c r="J44" i="7"/>
  <c r="M44" i="7"/>
  <c r="D44" i="7"/>
  <c r="G44" i="7"/>
  <c r="E21" i="7"/>
  <c r="B87" i="7"/>
  <c r="H100" i="7"/>
  <c r="K87" i="7"/>
  <c r="K111" i="7"/>
  <c r="H10" i="7"/>
  <c r="I68" i="7"/>
  <c r="D68" i="6"/>
  <c r="G29" i="7"/>
  <c r="D29" i="7"/>
  <c r="B29" i="6"/>
  <c r="J29" i="7"/>
  <c r="M29" i="7"/>
  <c r="K116" i="7"/>
  <c r="H3" i="7"/>
  <c r="H83" i="7"/>
  <c r="E130" i="7"/>
  <c r="B142" i="7"/>
  <c r="J94" i="7"/>
  <c r="G94" i="7"/>
  <c r="D94" i="7"/>
  <c r="M94" i="7"/>
  <c r="B94" i="6"/>
  <c r="K155" i="7"/>
  <c r="B78" i="7"/>
  <c r="D108" i="6"/>
  <c r="I108" i="7"/>
  <c r="I141" i="7"/>
  <c r="D141" i="6"/>
  <c r="D133" i="7"/>
  <c r="M133" i="7"/>
  <c r="G133" i="7"/>
  <c r="J133" i="7"/>
  <c r="B133" i="6"/>
  <c r="D117" i="7"/>
  <c r="M117" i="7"/>
  <c r="B117" i="6"/>
  <c r="J117" i="7"/>
  <c r="G117" i="7"/>
  <c r="I153" i="7"/>
  <c r="D153" i="6"/>
  <c r="B13" i="7"/>
  <c r="I63" i="7"/>
  <c r="D63" i="6"/>
  <c r="J50" i="7"/>
  <c r="B50" i="6"/>
  <c r="G50" i="7"/>
  <c r="D50" i="7"/>
  <c r="M50" i="7"/>
  <c r="E102" i="7"/>
  <c r="J107" i="7"/>
  <c r="G107" i="7"/>
  <c r="B107" i="6"/>
  <c r="M107" i="7"/>
  <c r="D107" i="7"/>
  <c r="E26" i="7"/>
  <c r="I26" i="7"/>
  <c r="D26" i="6"/>
  <c r="B46" i="7"/>
  <c r="H108" i="7"/>
  <c r="B8" i="7"/>
  <c r="B116" i="6"/>
  <c r="J116" i="7"/>
  <c r="D116" i="7"/>
  <c r="M116" i="7"/>
  <c r="G116" i="7"/>
  <c r="B29" i="7"/>
  <c r="B5" i="7"/>
  <c r="J53" i="7"/>
  <c r="G53" i="7"/>
  <c r="D53" i="7"/>
  <c r="M53" i="7"/>
  <c r="B53" i="6"/>
  <c r="H71" i="7"/>
  <c r="B54" i="7"/>
  <c r="K97" i="7"/>
  <c r="M15" i="7"/>
  <c r="J15" i="7"/>
  <c r="G15" i="7"/>
  <c r="B15" i="6"/>
  <c r="D15" i="7"/>
  <c r="D10" i="6"/>
  <c r="I10" i="7"/>
  <c r="H92" i="7"/>
  <c r="B118" i="7"/>
  <c r="B82" i="7"/>
  <c r="I8" i="7"/>
  <c r="D8" i="6"/>
  <c r="K108" i="7"/>
  <c r="E36" i="7"/>
  <c r="B83" i="7"/>
  <c r="H126" i="7"/>
  <c r="D36" i="7"/>
  <c r="J36" i="7"/>
  <c r="M36" i="7"/>
  <c r="B36" i="6"/>
  <c r="G36" i="7"/>
  <c r="I83" i="7"/>
  <c r="D83" i="6"/>
  <c r="E5" i="7"/>
  <c r="D97" i="6"/>
  <c r="I97" i="7"/>
  <c r="D107" i="6"/>
  <c r="I107" i="7"/>
  <c r="B28" i="6"/>
  <c r="J28" i="7"/>
  <c r="G28" i="7"/>
  <c r="D28" i="7"/>
  <c r="M28" i="7"/>
  <c r="E152" i="7"/>
  <c r="B11" i="7"/>
  <c r="H31" i="7"/>
  <c r="J102" i="7"/>
  <c r="G102" i="7"/>
  <c r="M102" i="7"/>
  <c r="B102" i="6"/>
  <c r="D102" i="7"/>
  <c r="I52" i="7"/>
  <c r="D52" i="6"/>
  <c r="K49" i="7"/>
  <c r="K53" i="7"/>
  <c r="I50" i="7"/>
  <c r="D50" i="6"/>
  <c r="D30" i="7"/>
  <c r="G30" i="7"/>
  <c r="M30" i="7"/>
  <c r="B30" i="6"/>
  <c r="J30" i="7"/>
  <c r="I54" i="7"/>
  <c r="D54" i="6"/>
  <c r="B72" i="7"/>
  <c r="J8" i="7"/>
  <c r="B8" i="6"/>
  <c r="D8" i="7"/>
  <c r="G8" i="7"/>
  <c r="M8" i="7"/>
  <c r="K86" i="7"/>
  <c r="H13" i="7"/>
  <c r="B147" i="7"/>
  <c r="D134" i="6"/>
  <c r="I134" i="7"/>
  <c r="K151" i="7"/>
  <c r="J137" i="7"/>
  <c r="B137" i="6"/>
  <c r="M137" i="7"/>
  <c r="G137" i="7"/>
  <c r="D137" i="7"/>
  <c r="D9" i="12"/>
  <c r="I115" i="7"/>
  <c r="D115" i="6"/>
  <c r="G69" i="7"/>
  <c r="J69" i="7"/>
  <c r="M69" i="7"/>
  <c r="B69" i="6"/>
  <c r="D69" i="7"/>
  <c r="I82" i="7"/>
  <c r="D82" i="6"/>
  <c r="B39" i="6"/>
  <c r="D39" i="7"/>
  <c r="M39" i="7"/>
  <c r="G39" i="7"/>
  <c r="J39" i="7"/>
  <c r="G95" i="7"/>
  <c r="J95" i="7"/>
  <c r="M95" i="7"/>
  <c r="D95" i="7"/>
  <c r="B95" i="6"/>
  <c r="B42" i="7"/>
  <c r="I14" i="7"/>
  <c r="D14" i="6"/>
  <c r="B97" i="7"/>
  <c r="I112" i="7"/>
  <c r="D112" i="6"/>
  <c r="H139" i="7"/>
  <c r="I121" i="7"/>
  <c r="D121" i="6"/>
  <c r="D74" i="7"/>
  <c r="M74" i="7"/>
  <c r="J74" i="7"/>
  <c r="B74" i="6"/>
  <c r="G74" i="7"/>
  <c r="I73" i="7"/>
  <c r="D73" i="6"/>
  <c r="I138" i="7"/>
  <c r="D138" i="6"/>
  <c r="E113" i="7"/>
  <c r="B128" i="6"/>
  <c r="G128" i="7"/>
  <c r="M128" i="7"/>
  <c r="D128" i="7"/>
  <c r="J128" i="7"/>
  <c r="E126" i="7"/>
  <c r="H84" i="7"/>
  <c r="D54" i="7"/>
  <c r="B54" i="6"/>
  <c r="G54" i="7"/>
  <c r="J54" i="7"/>
  <c r="M54" i="7"/>
  <c r="D26" i="7"/>
  <c r="B26" i="6"/>
  <c r="J26" i="7"/>
  <c r="M26" i="7"/>
  <c r="G26" i="7"/>
  <c r="H35" i="7"/>
  <c r="D86" i="6"/>
  <c r="I86" i="7"/>
  <c r="D80" i="6"/>
  <c r="I80" i="7"/>
  <c r="I152" i="7"/>
  <c r="D152" i="6"/>
  <c r="I148" i="7"/>
  <c r="D148" i="6"/>
  <c r="B120" i="6"/>
  <c r="D120" i="7"/>
  <c r="M120" i="7"/>
  <c r="G120" i="7"/>
  <c r="J120" i="7"/>
  <c r="M146" i="7"/>
  <c r="D146" i="7"/>
  <c r="G146" i="7"/>
  <c r="J146" i="7"/>
  <c r="B146" i="6"/>
  <c r="D42" i="6"/>
  <c r="I42" i="7"/>
  <c r="H77" i="7"/>
  <c r="B136" i="6"/>
  <c r="M136" i="7"/>
  <c r="G136" i="7"/>
  <c r="J136" i="7"/>
  <c r="D136" i="7"/>
  <c r="J52" i="7"/>
  <c r="D52" i="7"/>
  <c r="G52" i="7"/>
  <c r="M52" i="7"/>
  <c r="B52" i="6"/>
  <c r="D35" i="12"/>
  <c r="D31" i="6"/>
  <c r="I31" i="7"/>
  <c r="J12" i="7"/>
  <c r="B12" i="6"/>
  <c r="M12" i="7"/>
  <c r="G12" i="7"/>
  <c r="D12" i="7"/>
  <c r="H26" i="7"/>
  <c r="H115" i="7"/>
  <c r="H93" i="7"/>
  <c r="B9" i="7"/>
  <c r="E29" i="7"/>
  <c r="D35" i="7"/>
  <c r="M35" i="7"/>
  <c r="G35" i="7"/>
  <c r="B35" i="6"/>
  <c r="J35" i="7"/>
  <c r="D41" i="7"/>
  <c r="B41" i="6"/>
  <c r="J41" i="7"/>
  <c r="G41" i="7"/>
  <c r="M41" i="7"/>
  <c r="D67" i="6"/>
  <c r="I67" i="7"/>
  <c r="B115" i="7"/>
  <c r="G47" i="7"/>
  <c r="B47" i="6"/>
  <c r="M47" i="7"/>
  <c r="J47" i="7"/>
  <c r="D47" i="7"/>
  <c r="K40" i="7"/>
  <c r="B73" i="7"/>
  <c r="K152" i="7"/>
  <c r="M106" i="7"/>
  <c r="G106" i="7"/>
  <c r="D106" i="7"/>
  <c r="J106" i="7"/>
  <c r="B106" i="6"/>
  <c r="D46" i="7"/>
  <c r="B46" i="6"/>
  <c r="M46" i="7"/>
  <c r="J46" i="7"/>
  <c r="G46" i="7"/>
  <c r="D118" i="7"/>
  <c r="G118" i="7"/>
  <c r="J118" i="7"/>
  <c r="M118" i="7"/>
  <c r="B118" i="6"/>
  <c r="B149" i="7"/>
  <c r="D33" i="6"/>
  <c r="I33" i="7"/>
  <c r="E134" i="7"/>
  <c r="J77" i="7"/>
  <c r="D77" i="7"/>
  <c r="G77" i="7"/>
  <c r="M77" i="7"/>
  <c r="B77" i="6"/>
  <c r="E77" i="7"/>
  <c r="D120" i="6"/>
  <c r="I120" i="7"/>
  <c r="E25" i="7"/>
  <c r="D140" i="6"/>
  <c r="I140" i="7"/>
  <c r="I116" i="7"/>
  <c r="D116" i="6"/>
  <c r="J119" i="7"/>
  <c r="B119" i="6"/>
  <c r="D119" i="7"/>
  <c r="M119" i="7"/>
  <c r="G119" i="7"/>
  <c r="B15" i="7"/>
  <c r="B123" i="7"/>
  <c r="E109" i="7"/>
  <c r="I20" i="7"/>
  <c r="D20" i="6"/>
  <c r="B84" i="7"/>
  <c r="H54" i="7"/>
  <c r="B79" i="7"/>
  <c r="E24" i="7"/>
  <c r="E32" i="7"/>
  <c r="K54" i="7"/>
  <c r="D131" i="6"/>
  <c r="I131" i="7"/>
  <c r="I99" i="7"/>
  <c r="D99" i="6"/>
  <c r="D51" i="6"/>
  <c r="I51" i="7"/>
  <c r="H75" i="7"/>
  <c r="H78" i="7"/>
  <c r="K33" i="7"/>
  <c r="G37" i="12"/>
  <c r="E37" i="12"/>
  <c r="F23" i="12"/>
  <c r="E35" i="12"/>
  <c r="F29" i="12"/>
  <c r="G31" i="12"/>
  <c r="G34" i="12"/>
  <c r="H8" i="12"/>
  <c r="F32" i="12"/>
  <c r="F35" i="12"/>
  <c r="F31" i="12"/>
  <c r="E34" i="12"/>
  <c r="H30" i="12"/>
  <c r="F4" i="12"/>
  <c r="G35" i="12"/>
  <c r="E10" i="12"/>
  <c r="G29" i="12"/>
  <c r="F26" i="12"/>
  <c r="G32" i="12"/>
  <c r="F33" i="12"/>
  <c r="E29" i="12"/>
  <c r="E31" i="12"/>
  <c r="F34" i="12"/>
  <c r="H29" i="12"/>
  <c r="E4" i="12"/>
  <c r="F25" i="12"/>
  <c r="H3" i="12"/>
  <c r="F28" i="12"/>
  <c r="G4" i="12"/>
  <c r="E25" i="12"/>
  <c r="H20" i="12"/>
  <c r="H22" i="12"/>
  <c r="E28" i="12"/>
  <c r="H36" i="12"/>
  <c r="G25" i="12"/>
  <c r="F10" i="12"/>
  <c r="G26" i="12"/>
  <c r="E23" i="12"/>
  <c r="E32" i="12"/>
  <c r="H2" i="12"/>
  <c r="E33" i="12"/>
  <c r="F37" i="12"/>
  <c r="G10" i="12"/>
  <c r="E26" i="12"/>
  <c r="G23" i="12"/>
  <c r="G28" i="12"/>
  <c r="H21" i="12"/>
  <c r="G33" i="12"/>
  <c r="H35" i="12"/>
  <c r="H9" i="12"/>
  <c r="H19" i="12"/>
  <c r="H26" i="12"/>
  <c r="D33" i="12" l="1"/>
  <c r="D25" i="12"/>
  <c r="D4" i="12"/>
  <c r="D32" i="12"/>
  <c r="D28" i="12"/>
  <c r="D23" i="12"/>
  <c r="D34" i="12"/>
  <c r="D31" i="12"/>
  <c r="D10" i="12"/>
  <c r="D37" i="12"/>
  <c r="H4" i="12"/>
  <c r="H33" i="12"/>
  <c r="H37" i="12"/>
  <c r="H32" i="12"/>
  <c r="H28" i="12"/>
  <c r="H10" i="12"/>
  <c r="H23" i="12"/>
  <c r="H34" i="12"/>
  <c r="H31" i="12"/>
  <c r="H2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Wenqian Wu</author>
  </authors>
  <commentList>
    <comment ref="A1" authorId="0" shapeId="0" xr:uid="{52B0ACC3-458F-4AD3-908B-FFCE88B08DAA}">
      <text>
        <r>
          <rPr>
            <b/>
            <sz val="9"/>
            <color rgb="FF000000"/>
            <rFont val="宋体"/>
            <family val="3"/>
            <charset val="134"/>
          </rPr>
          <t>UEsDBBQACAgIAP24YVoAAAAAAAAAAAAAAAABAAAAMO2ZW4scxxXH9ZxPMTQk2LCFq+vS1dVvq93RRmgvyl5iFmOWupxaNZrtGXf3OB7EghIIGwJWnAuYxFZEQkyUB5sQQpAdJ59mL+hb5HTP7CWSJ9bKy5oNepnpOl3XU7/+nzrd3fnr175z7dq1exG8N+iX9Vy/CPl2lN2LPAQz7NWLptgemm2IssgV0Uzk82rQM6Olvm9Mfudm4XNn6rzf3MyL0L8FMNgYeFPjfYqmarZyURZMr4Km9P3cw/WeKe5GWV0OYXdmMvB6XvdgZdB2hKObXq+1dHuwA0VdnfTg+sOiLkcnZQ+VK/NJu6bHmSiU8M4QCjc6NuCQRZ2HHMpjS2V2Bj046aSCHrgafDvkLRgt5lUdZW9FJVR1v4RlswPRuF/8GxZ5HTUT8Y2x6g9LB9HbJ1eTEWpje+OGx4M07arj28PWQ/Otl9r76IgdqMscffXWvWgL75r5fLttIWYiC9t5Ma4dMUoZjWnSzOEO7g6sguuXvm3n+js7pvCNB4t27OjGavcHW/Mrby5j9YEp0VhDWTUVlrqrC92t9c3bXay2OLu2jjWa2lh6s9u9NSltra3OoWV+dr2LlpsLyyur3a3ljcVFNNLjOpNOVFNjeW5xY/7m8sJWd3l+q22WRXG0u7v79sRnWVTFWBGKsXeiuTt5Ya73C591FvrvQlk0G95pDJ3N9aWsE9PNrJnQ4mbWzDLDfjtNv6rtZKPZjSz6btSChGsHf+JxeK8ujavXzfZZNKKMz0TbZX84aG9M6t6FUcOzUeCstESk2hPBDCXGpJLEmvMkeEggFTjSxLf7Tz49uP/FwUf/an5/9tfDjx8d/uYfRx/9/OjBXhbTg8//nh388nF2+PH9gw8e7D+5f/jwD9nRP399+PDR4YefNLMvzY/mxh5Zo1RqJfTYeKOdZdxe32rnFYOMlRaeALWaiBAUsYobEnjsmJM0CCabtmNej1db1mMXT5A79tTuzP89YGwKYHPz178lsoJ1SYgVJzaJkSwZLElVwGLw2gcpqQrsq8j68v43hmspplQwFU+DKzHOG8o8kUo4Irg0xFrpCGhI01ghe/pC4Uqb2VxhuPhXwtWZu/295X4Nnc0celgalu9C57Vxoe53lkw9LPN69HrntdnZ2dezDrs89phmKhE6EOAJSpuwiuiUJsR56rxMvTHMPcse/h49+hSpO/rk8eH7nz1D4HgN7LwUUsn5VAq9VooHSVIDMUovZ3iFP84abmSaBsn0hVEYa8mppPwKUyjOUrixNpt11ksw1bAcdW6b8r8oXMVFV5crd9rZRAmkDVInUFOYIWksgCjreDBBi0TyU+SO/v0AtS4bR9KXlbkF5IumerrMWW6tSiSRKGuowByITbUhPGFWAGcoye5VDD0FTL1YDL08plJlXMxVQN3iKGMhjolRFEjQXBkaawbt5r9gCD1/BE2mapeSxipvHPFW4fGMU4ygstFbZh2E1GgN9CLRSmLG4yuMlryQCHqJ6AXMBARYRyxY1A6baIygCo/jTHDrLEqaNy8TQc9F4ThJ4MlUCm2saVAYMgMLRAB1JE10SrhWFCOoTDgNryLoKYXJ+SPoJQbQYEXCmCDgJCMClY9ogeLiGDeJZk659IzYTQug54+f6VS8UoEnM4czCjRG+ZVUE+OAE+Y4cJNqThN4FT9P8UrP85LjErMBGTNjbdooBCQYRmmTkypDQmISKi1Q79IXe8dxrvP/5BWHnPqKA5nmUqaYEXNJhOMeY2gMxDOZxFqkWgrz8nix5/DiiJe8wnjp/61eq2B633YSAMJrgSEJAxJH3JoMVFNmCWacnicuOMbCFA07+Oz3T3/705dOBeJYKEGnpwLSIWkOI7kKDqXMJCRV+BwYE5wVHuEw3yAVeJ41TdP4KktZTJ/Tsqwzb/LeqDOLYma2obMyrAfDGrODcuihs1YD9LIOervTLXABgzKvkL6vBa95R0DxsFdUb3gzuqB3ujJIpgCIdoHijseKpKnF3CGWeJL2ylp45uyGFCJSBw/39r/489O9X2RHf/vw6a/+mD3de//oJ5/vf/nj/Se/+xoUcedQ32/69hPIGQ2UiqZMTA2xMaoSC1QQg3NCfU6bqWpNWBCKu1iyYNhZLifrPAbzzIeGdiV7Bx88fuPgT3+Jmr0sAR1V3VkfDcYfZup8B240fK1BXedF+83H3QF394eml5/6u2eqesVWrYOb63H7qFdvgkEuZ6K+rW6U/Z0WdMxKGKdj41ptynq2bu0xPovt04j29f64qqBJW3UAZd73k24H9eJkvN3d/wBQSwcIPekIhbIGAACbGgA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<sst xmlns="http://schemas.openxmlformats.org/spreadsheetml/2006/main" count="336" uniqueCount="193">
  <si>
    <t>权益</t>
    <phoneticPr fontId="1" type="noConversion"/>
  </si>
  <si>
    <t>上证指数</t>
    <phoneticPr fontId="1" type="noConversion"/>
  </si>
  <si>
    <t>中证转债</t>
    <phoneticPr fontId="1" type="noConversion"/>
  </si>
  <si>
    <t>标普500</t>
    <phoneticPr fontId="1" type="noConversion"/>
  </si>
  <si>
    <t>沪金</t>
    <phoneticPr fontId="1" type="noConversion"/>
  </si>
  <si>
    <t>螺纹钢</t>
    <phoneticPr fontId="1" type="noConversion"/>
  </si>
  <si>
    <t>原油</t>
    <phoneticPr fontId="1" type="noConversion"/>
  </si>
  <si>
    <t>PE</t>
    <phoneticPr fontId="1" type="noConversion"/>
  </si>
  <si>
    <t>PB</t>
    <phoneticPr fontId="1" type="noConversion"/>
  </si>
  <si>
    <t>股债性价比</t>
    <phoneticPr fontId="1" type="noConversion"/>
  </si>
  <si>
    <t>信用利差</t>
    <phoneticPr fontId="1" type="noConversion"/>
  </si>
  <si>
    <t>期限利差</t>
    <phoneticPr fontId="1" type="noConversion"/>
  </si>
  <si>
    <t>转股溢价率</t>
    <phoneticPr fontId="1" type="noConversion"/>
  </si>
  <si>
    <t>平价溢价率</t>
    <phoneticPr fontId="1" type="noConversion"/>
  </si>
  <si>
    <t>纯债溢价率</t>
    <phoneticPr fontId="1" type="noConversion"/>
  </si>
  <si>
    <t>收益率</t>
    <phoneticPr fontId="1" type="noConversion"/>
  </si>
  <si>
    <t>VIX</t>
    <phoneticPr fontId="1" type="noConversion"/>
  </si>
  <si>
    <t>USDCNY</t>
    <phoneticPr fontId="1" type="noConversion"/>
  </si>
  <si>
    <t>中美利差</t>
    <phoneticPr fontId="1" type="noConversion"/>
  </si>
  <si>
    <t>内外盘价差</t>
    <phoneticPr fontId="1" type="noConversion"/>
  </si>
  <si>
    <t>美国实际利率</t>
    <phoneticPr fontId="1" type="noConversion"/>
  </si>
  <si>
    <t>豆粕</t>
    <phoneticPr fontId="1" type="noConversion"/>
  </si>
  <si>
    <t>000001.SH</t>
    <phoneticPr fontId="1" type="noConversion"/>
  </si>
  <si>
    <t>000832.CSI</t>
    <phoneticPr fontId="1" type="noConversion"/>
  </si>
  <si>
    <t>SPX.GI</t>
    <phoneticPr fontId="1" type="noConversion"/>
  </si>
  <si>
    <t>931472.CSI</t>
    <phoneticPr fontId="1" type="noConversion"/>
  </si>
  <si>
    <t>USDCNY.IB</t>
    <phoneticPr fontId="1" type="noConversion"/>
  </si>
  <si>
    <t>AU.SHF</t>
    <phoneticPr fontId="1" type="noConversion"/>
  </si>
  <si>
    <t>RB.SHF</t>
    <phoneticPr fontId="1" type="noConversion"/>
  </si>
  <si>
    <t>SC.INE</t>
    <phoneticPr fontId="1" type="noConversion"/>
  </si>
  <si>
    <t>M.DCE</t>
    <phoneticPr fontId="1" type="noConversion"/>
  </si>
  <si>
    <t>CBA01921.CS</t>
    <phoneticPr fontId="1" type="noConversion"/>
  </si>
  <si>
    <t>10yrnote.gbm</t>
    <phoneticPr fontId="1" type="noConversion"/>
  </si>
  <si>
    <t>指标名称</t>
    <phoneticPr fontId="1" type="noConversion"/>
  </si>
  <si>
    <t>中债国债到期收益率:10年:周:最后一条:结束日7</t>
    <phoneticPr fontId="1" type="noConversion"/>
  </si>
  <si>
    <t>中债国开债到期收益率:10年:周:最后一条:结束日7</t>
    <phoneticPr fontId="1" type="noConversion"/>
  </si>
  <si>
    <t>中债中短期票据到期收益率(AAA):2年:周:最后一条:结束日7</t>
    <phoneticPr fontId="1" type="noConversion"/>
  </si>
  <si>
    <t>美国:国债收益率:10年:周:最后一条:结束日7</t>
    <phoneticPr fontId="1" type="noConversion"/>
  </si>
  <si>
    <t>频率</t>
    <phoneticPr fontId="1" type="noConversion"/>
  </si>
  <si>
    <t>周</t>
    <phoneticPr fontId="1" type="noConversion"/>
  </si>
  <si>
    <t>单位</t>
    <phoneticPr fontId="1" type="noConversion"/>
  </si>
  <si>
    <t>%</t>
    <phoneticPr fontId="1" type="noConversion"/>
  </si>
  <si>
    <t>指标ID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</si>
  <si>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</si>
  <si>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</si>
  <si>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</si>
  <si>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</si>
  <si>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来源</t>
    <phoneticPr fontId="1" type="noConversion"/>
  </si>
  <si>
    <t>中债估值中心</t>
    <phoneticPr fontId="1" type="noConversion"/>
  </si>
  <si>
    <t>美国财政部</t>
    <phoneticPr fontId="1" type="noConversion"/>
  </si>
  <si>
    <t>上证PE</t>
    <phoneticPr fontId="1" type="noConversion"/>
  </si>
  <si>
    <t>sp500PE</t>
    <phoneticPr fontId="1" type="noConversion"/>
  </si>
  <si>
    <t>上证PB</t>
    <phoneticPr fontId="1" type="noConversion"/>
  </si>
  <si>
    <t>sp500PB</t>
    <phoneticPr fontId="1" type="noConversion"/>
  </si>
  <si>
    <t>日期</t>
    <phoneticPr fontId="1" type="noConversion"/>
  </si>
  <si>
    <t>中债国开债到期收益率:1年:周:最后一条:结束日7</t>
    <phoneticPr fontId="1" type="noConversion"/>
  </si>
  <si>
    <t>中债中短期票据到期收益率(AAA):1年:周:最后一条:结束日7</t>
    <phoneticPr fontId="1" type="noConversion"/>
  </si>
  <si>
    <t>美国:国债收益率:1年:周:最后一条:结束日7</t>
    <phoneticPr fontId="1" type="noConversion"/>
  </si>
  <si>
    <t>s7</t>
    <phoneticPr fontId="1" type="noConversion"/>
  </si>
  <si>
    <t>s5</t>
    <phoneticPr fontId="1" type="noConversion"/>
  </si>
  <si>
    <t>s6</t>
    <phoneticPr fontId="1" type="noConversion"/>
  </si>
  <si>
    <t>10年国开</t>
    <phoneticPr fontId="1" type="noConversion"/>
  </si>
  <si>
    <t>10年美债</t>
    <phoneticPr fontId="1" type="noConversion"/>
  </si>
  <si>
    <t>期限利率</t>
    <phoneticPr fontId="1" type="noConversion"/>
  </si>
  <si>
    <t>2年AAA信用</t>
    <phoneticPr fontId="1" type="noConversion"/>
  </si>
  <si>
    <t>中债国债到期收益率:2年:周:最后一条:结束日7</t>
    <phoneticPr fontId="1" type="noConversion"/>
  </si>
  <si>
    <t>s8</t>
    <phoneticPr fontId="1" type="noConversion"/>
  </si>
  <si>
    <t>VIX.GI</t>
    <phoneticPr fontId="1" type="noConversion"/>
  </si>
  <si>
    <t>美元指数</t>
    <phoneticPr fontId="1" type="noConversion"/>
  </si>
  <si>
    <t>USDX.FX</t>
    <phoneticPr fontId="1" type="noConversion"/>
  </si>
  <si>
    <t>中间价</t>
    <phoneticPr fontId="1" type="noConversion"/>
  </si>
  <si>
    <t>USDCNY中间价</t>
    <phoneticPr fontId="1" type="noConversion"/>
  </si>
  <si>
    <t>美国:国债实际收益率:10年:周:最后一条:结束日7</t>
    <phoneticPr fontId="1" type="noConversion"/>
  </si>
  <si>
    <t>s9</t>
    <phoneticPr fontId="1" type="noConversion"/>
  </si>
  <si>
    <t>GC.CMX</t>
    <phoneticPr fontId="1" type="noConversion"/>
  </si>
  <si>
    <t>COMEX黄金</t>
    <phoneticPr fontId="1" type="noConversion"/>
  </si>
  <si>
    <t>WTI与布油价差</t>
    <phoneticPr fontId="1" type="noConversion"/>
  </si>
  <si>
    <t>期现价差</t>
    <phoneticPr fontId="1" type="noConversion"/>
  </si>
  <si>
    <t>持仓</t>
    <phoneticPr fontId="1" type="noConversion"/>
  </si>
  <si>
    <t>CL.NYM</t>
    <phoneticPr fontId="1" type="noConversion"/>
  </si>
  <si>
    <t>WTI原油</t>
    <phoneticPr fontId="1" type="noConversion"/>
  </si>
  <si>
    <t>布油</t>
    <phoneticPr fontId="1" type="noConversion"/>
  </si>
  <si>
    <t>B.IPE</t>
    <phoneticPr fontId="1" type="noConversion"/>
  </si>
  <si>
    <t>豆粕持仓量</t>
    <phoneticPr fontId="1" type="noConversion"/>
  </si>
  <si>
    <t>豆粕期货</t>
    <phoneticPr fontId="1" type="noConversion"/>
  </si>
  <si>
    <t>W00003SPT.NM</t>
    <phoneticPr fontId="1" type="noConversion"/>
  </si>
  <si>
    <t>豆粕现货</t>
    <phoneticPr fontId="1" type="noConversion"/>
  </si>
  <si>
    <t>中国:日均产量:粗钢:重点企业:周:最后一条:结束日7</t>
    <phoneticPr fontId="1" type="noConversion"/>
  </si>
  <si>
    <t>万吨/天</t>
    <phoneticPr fontId="1" type="noConversion"/>
  </si>
  <si>
    <t>s10</t>
    <phoneticPr fontId="1" type="noConversion"/>
  </si>
  <si>
    <t>钢之家</t>
    <phoneticPr fontId="1" type="noConversion"/>
  </si>
  <si>
    <t>螺纹</t>
    <phoneticPr fontId="1" type="noConversion"/>
  </si>
  <si>
    <t>热卷</t>
    <phoneticPr fontId="1" type="noConversion"/>
  </si>
  <si>
    <t>HC.SHF</t>
    <phoneticPr fontId="1" type="noConversion"/>
  </si>
  <si>
    <t>螺卷差</t>
    <phoneticPr fontId="1" type="noConversion"/>
  </si>
  <si>
    <t>铁矿</t>
    <phoneticPr fontId="1" type="noConversion"/>
  </si>
  <si>
    <t>I.DCE</t>
    <phoneticPr fontId="1" type="noConversion"/>
  </si>
  <si>
    <t>转股溢价率</t>
  </si>
  <si>
    <t>纯债溢价率</t>
  </si>
  <si>
    <t>隐含波动率</t>
  </si>
  <si>
    <t>1-3年高信用等级债券财富</t>
  </si>
  <si>
    <t>子类资产</t>
  </si>
  <si>
    <t>最大值</t>
  </si>
  <si>
    <t>最小值</t>
  </si>
  <si>
    <t>历史中位数</t>
  </si>
  <si>
    <t>上证指数</t>
  </si>
  <si>
    <t>PE</t>
  </si>
  <si>
    <t>PB</t>
  </si>
  <si>
    <t>股债性价比</t>
  </si>
  <si>
    <t>7-10年国开</t>
  </si>
  <si>
    <t>螺纹钢</t>
  </si>
  <si>
    <t>原油</t>
  </si>
  <si>
    <t>豆粕</t>
  </si>
  <si>
    <t>标普500</t>
  </si>
  <si>
    <t>沪金</t>
  </si>
  <si>
    <t>USDCNY</t>
  </si>
  <si>
    <t>10年期美国国债收益率</t>
  </si>
  <si>
    <t>中证转债</t>
  </si>
  <si>
    <t>大类资产</t>
  </si>
  <si>
    <t>收益率</t>
  </si>
  <si>
    <t>信用利差</t>
  </si>
  <si>
    <t>期限利差</t>
  </si>
  <si>
    <t>债券</t>
  </si>
  <si>
    <t>期限利差(10减1）</t>
  </si>
  <si>
    <t>FF</t>
  </si>
  <si>
    <t>汇率</t>
  </si>
  <si>
    <t>中间价</t>
  </si>
  <si>
    <t>中美利差</t>
  </si>
  <si>
    <t>美元指数</t>
  </si>
  <si>
    <t>商品</t>
  </si>
  <si>
    <t>内外盘价差</t>
  </si>
  <si>
    <t>美国实际利率</t>
  </si>
  <si>
    <t>USDCNY中间价</t>
  </si>
  <si>
    <t>螺卷差（热卷减螺纹）</t>
  </si>
  <si>
    <t>铁矿价格</t>
  </si>
  <si>
    <t>WIT与布油价差</t>
  </si>
  <si>
    <t>期货现货价差</t>
  </si>
  <si>
    <t>期货主连持仓量</t>
  </si>
  <si>
    <t>当前值</t>
    <phoneticPr fontId="1" type="noConversion"/>
  </si>
  <si>
    <t>对应列</t>
    <phoneticPr fontId="1" type="noConversion"/>
  </si>
  <si>
    <t>股票指标!B</t>
    <phoneticPr fontId="1" type="noConversion"/>
  </si>
  <si>
    <t>股票指标!E</t>
  </si>
  <si>
    <t>股票指标!F</t>
  </si>
  <si>
    <t>股票指标!G</t>
  </si>
  <si>
    <t>股票指标!H</t>
  </si>
  <si>
    <t>股票指标!I</t>
  </si>
  <si>
    <t>股票指标!J</t>
  </si>
  <si>
    <t>债券指标!B</t>
  </si>
  <si>
    <t>债券指标!C</t>
  </si>
  <si>
    <t>债券指标!D</t>
  </si>
  <si>
    <t>债券指标!E</t>
  </si>
  <si>
    <t>债券指标!F</t>
  </si>
  <si>
    <t>债券指标!G</t>
  </si>
  <si>
    <t>债券指标!H</t>
  </si>
  <si>
    <t>债券指标!I</t>
  </si>
  <si>
    <t>债券指标!J</t>
  </si>
  <si>
    <t>汇率指标!B</t>
  </si>
  <si>
    <t>汇率指标!C</t>
  </si>
  <si>
    <t>汇率指标!D</t>
  </si>
  <si>
    <t>商品指标!B</t>
  </si>
  <si>
    <t>商品指标!C</t>
  </si>
  <si>
    <t>商品指标!D</t>
  </si>
  <si>
    <t>商品指标!E</t>
  </si>
  <si>
    <t>商品指标!F</t>
  </si>
  <si>
    <t>商品指标!G</t>
  </si>
  <si>
    <t>商品指标!H</t>
  </si>
  <si>
    <t>商品指标!I</t>
  </si>
  <si>
    <t>商品指标!J</t>
  </si>
  <si>
    <t>商品指标!K</t>
  </si>
  <si>
    <t>商品指标!L</t>
  </si>
  <si>
    <t>商品指标!M</t>
  </si>
  <si>
    <t>股票指标!D</t>
    <phoneticPr fontId="1" type="noConversion"/>
  </si>
  <si>
    <t>股票指标!C</t>
    <phoneticPr fontId="1" type="noConversion"/>
  </si>
  <si>
    <t>对应位置</t>
    <phoneticPr fontId="1" type="noConversion"/>
  </si>
  <si>
    <t>当前分位点</t>
    <phoneticPr fontId="1" type="noConversion"/>
  </si>
  <si>
    <t>美元兑人民币1年掉期</t>
  </si>
  <si>
    <t>USDCNY1YS.IB</t>
    <phoneticPr fontId="1" type="noConversion"/>
  </si>
  <si>
    <t>美元兑离岸人民币</t>
    <phoneticPr fontId="1" type="noConversion"/>
  </si>
  <si>
    <t>USDCNH.FX</t>
    <phoneticPr fontId="1" type="noConversion"/>
  </si>
  <si>
    <t>锁汇成本</t>
    <phoneticPr fontId="1" type="noConversion"/>
  </si>
  <si>
    <t>掉期点1Y</t>
    <phoneticPr fontId="1" type="noConversion"/>
  </si>
  <si>
    <t>美元兑离岸人民币CNH</t>
    <phoneticPr fontId="1" type="noConversion"/>
  </si>
  <si>
    <t>汇率指标!E</t>
    <phoneticPr fontId="1" type="noConversion"/>
  </si>
  <si>
    <t>汇率指标!F</t>
    <phoneticPr fontId="1" type="noConversion"/>
  </si>
  <si>
    <t>汇率指标!G</t>
    <phoneticPr fontId="1" type="noConversion"/>
  </si>
  <si>
    <t>自定义更新日期</t>
  </si>
  <si>
    <t>指数代码</t>
    <phoneticPr fontId="1" type="noConversion"/>
  </si>
  <si>
    <t>指数简称</t>
    <phoneticPr fontId="1" type="noConversion"/>
  </si>
  <si>
    <t>观察指标（近三年）</t>
    <phoneticPr fontId="1" type="noConversion"/>
  </si>
  <si>
    <t xml:space="preserve">现在只剩权益    中证转债    转股溢价率                                                                                                                                                </t>
  </si>
  <si>
    <t xml:space="preserve">  权益    中证转债    纯债溢价率                                                                                                                                                        </t>
  </si>
  <si>
    <t xml:space="preserve">  权益    中证转债    隐含波动率这几个指标没有了，w.wsd("000832.CSI", "strbpremiumratio,convpremiumratio,impliedvol", "2025-12-25", "2026-01-25", "rfIndex=1;")                         </t>
  </si>
  <si>
    <t xml:space="preserve">  我尝试使用这个代码来获取，但好像只有转股溢价率可以获取到数据，其他的指标可能需要通过获取中证转债这个指数的成分转债指数，然后获取成本券的这些指标值，然后通过平均值来计算得出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</si>
</sst>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#,###,##0.0000"/>
    <numFmt numFmtId="177" formatCode="yyyy\-mm\-dd"/>
    <numFmt numFmtId="178" formatCode="#,##0.0000_ "/>
    <numFmt numFmtId="179" formatCode="yyyy\-mm\-dd;@"/>
    <numFmt numFmtId="180" formatCode="###,###,##0.00000"/>
    <numFmt numFmtId="181" formatCode="#,##0.00_ "/>
    <numFmt numFmtId="182" formatCode="###,###,##0.00"/>
    <numFmt numFmtId="183" formatCode="###,###,##0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indexed="10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等线"/>
      <family val="2"/>
      <scheme val="minor"/>
    </font>
    <font>
      <b/>
      <sz val="9"/>
      <color rgb="FF000000"/>
      <name val="宋体"/>
      <family val="3"/>
      <charset val="134"/>
    </font>
    <font>
      <b/>
      <sz val="16"/>
      <color theme="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/>
    <xf numFmtId="1" fontId="0" fillId="0" borderId="0" xfId="0" applyNumberFormat="1"/>
    <xf numFmtId="180" fontId="0" fillId="0" borderId="0" xfId="0" applyNumberFormat="1"/>
    <xf numFmtId="181" fontId="0" fillId="0" borderId="0" xfId="0" applyNumberFormat="1" applyAlignment="1">
      <alignment horizontal="right"/>
    </xf>
    <xf numFmtId="182" fontId="0" fillId="0" borderId="0" xfId="0" applyNumberFormat="1"/>
    <xf numFmtId="183" fontId="0" fillId="0" borderId="0" xfId="0" applyNumberFormat="1"/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9" fontId="0" fillId="0" borderId="1" xfId="1" applyFont="1" applyBorder="1" applyAlignment="1"/>
    <xf numFmtId="10" fontId="0" fillId="0" borderId="0" xfId="1" applyNumberFormat="1" applyFont="1" applyAlignment="1"/>
    <xf numFmtId="0" fontId="2" fillId="0" borderId="1" xfId="0" applyFont="1" applyBorder="1"/>
    <xf numFmtId="14" fontId="2" fillId="0" borderId="1" xfId="0" applyNumberFormat="1" applyFont="1" applyBorder="1"/>
    <xf numFmtId="10" fontId="2" fillId="0" borderId="1" xfId="1" applyNumberFormat="1" applyFont="1" applyFill="1" applyBorder="1" applyAlignment="1"/>
    <xf numFmtId="0" fontId="7" fillId="0" borderId="1" xfId="0" applyFont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10" fontId="0" fillId="0" borderId="1" xfId="1" applyNumberFormat="1" applyFont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2" borderId="1" xfId="0" applyFill="1" applyBorder="1"/>
    <xf numFmtId="9" fontId="0" fillId="2" borderId="1" xfId="1" applyFont="1" applyFill="1" applyBorder="1" applyAlignment="1"/>
    <xf numFmtId="0" fontId="0" fillId="2" borderId="0" xfId="0" applyFill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boxWhisker" uniqueId="{DCCEB038-8ED5-43EE-B1B1-1DC894C9937C}">
          <cx:tx>
            <cx:txData>
              <cx:f>_xlchart.v1.12</cx:f>
              <cx:v>PE</cx:v>
            </cx:txData>
          </cx:tx>
          <cx:dataLabels>
            <cx:numFmt formatCode="#,##0.00_);[红色](#,##0.00)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600" b="0" i="0">
                    <a:solidFill>
                      <a:srgbClr val="595959"/>
                    </a:solidFill>
                    <a:latin typeface="等线" panose="02010600030101010101" pitchFamily="2" charset="-122"/>
                    <a:ea typeface="等线" panose="02010600030101010101" pitchFamily="2" charset="-122"/>
                    <a:cs typeface="等线" panose="02010600030101010101" pitchFamily="2" charset="-122"/>
                  </a:defRPr>
                </a:pPr>
                <a:endParaRPr lang="zh-CN" altLang="en-US" sz="600">
                  <a:latin typeface="等线" panose="02010600030101010101" pitchFamily="2" charset="-122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rgbClr val="595959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</a:defRPr>
            </a:pPr>
            <a:endParaRPr lang="zh-CN" altLang="en-US" sz="600">
              <a:latin typeface="微软雅黑" panose="020B0503020204020204" pitchFamily="34" charset="-122"/>
              <a:ea typeface="微软雅黑" panose="020B0503020204020204" pitchFamily="34" charset="-122"/>
            </a:endParaRPr>
          </a:p>
        </cx:txPr>
      </cx:axis>
      <cx:axis id="1" hidden="1">
        <cx:valScaling max="15" min="11"/>
        <cx:tickLabels/>
        <cx:txPr>
          <a:bodyPr vertOverflow="overflow" horzOverflow="overflow" wrap="square" lIns="0" tIns="0" rIns="0" bIns="0"/>
          <a:lstStyle/>
          <a:p>
            <a:pPr algn="ctr" rtl="0">
              <a:defRPr sz="600" b="0" i="0">
                <a:solidFill>
                  <a:srgbClr val="595959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</a:defRPr>
            </a:pPr>
            <a:endParaRPr lang="zh-CN" altLang="en-US" sz="600">
              <a:latin typeface="微软雅黑" panose="020B0503020204020204" pitchFamily="34" charset="-122"/>
              <a:ea typeface="微软雅黑" panose="020B0503020204020204" pitchFamily="34" charset="-122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plotArea>
      <cx:plotAreaRegion>
        <cx:series layoutId="boxWhisker" uniqueId="{B6E081CB-F410-430D-817C-53C1436A47C9}">
          <cx:tx>
            <cx:txData>
              <cx:f>_xlchart.v1.14</cx:f>
              <cx:v>PB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lang="zh-CN" altLang="en-US"/>
            </a:pPr>
            <a:endParaRPr lang="zh-CN" altLang="en-US"/>
          </a:p>
        </cx:txPr>
      </cx:axis>
      <cx:axis id="1" hidden="1">
        <cx:valScaling min="1"/>
        <cx:tickLabels/>
        <cx:txPr>
          <a:bodyPr vertOverflow="overflow" horzOverflow="overflow" wrap="square" lIns="0" tIns="0" rIns="0" bIns="0"/>
          <a:lstStyle/>
          <a:p>
            <a:pPr algn="ctr" rtl="0">
              <a:defRPr lang="zh-CN" altLang="en-US"/>
            </a:pPr>
            <a:endParaRPr lang="zh-CN" altLang="en-US"/>
          </a:p>
        </cx:txPr>
      </cx:axis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plotArea>
      <cx:plotAreaRegion>
        <cx:series layoutId="boxWhisker" uniqueId="{3E1CCBB3-3E25-409C-89E4-9452819DE5FA}">
          <cx:tx>
            <cx:txData>
              <cx:f>_xlchart.v1.16</cx:f>
              <cx:v>股债性价比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-1.5"/>
        <cx:tickLabels/>
      </cx:axis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boxWhisker" uniqueId="{3E40AB52-C057-4474-9920-6B432BDACF54}">
          <cx:tx>
            <cx:txData>
              <cx:f>_xlchart.v1.6</cx:f>
              <cx:v>PE</cx:v>
            </cx:txData>
          </cx:tx>
          <cx:dataLabels>
            <cx:numFmt formatCode="#,##0.00_);[红色](#,##0.00)" sourceLinked="0"/>
            <cx:spPr>
              <a:noFill/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30" min="15"/>
        <cx:tickLabels/>
      </cx:axis>
    </cx:plotArea>
  </cx:chart>
  <cx:spPr>
    <a:noFill/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870B4BC5-7714-4F1C-91EA-61F8CE612281}">
          <cx:tx>
            <cx:txData>
              <cx:f>_xlchart.v1.0</cx:f>
              <cx:v>PB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5.5" min="3"/>
        <cx:tickLabels/>
      </cx:axis>
    </cx:plotArea>
  </cx:chart>
  <cx:spPr>
    <a:noFill/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A39190F4-A30E-4C24-A5AD-5CCA1BF7A578}">
          <cx:tx>
            <cx:txData>
              <cx:f>_xlchart.v1.2</cx:f>
              <cx:v>股债性价比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700"/>
                </a:pPr>
                <a:endParaRPr lang="zh-CN" altLang="en-US" sz="7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-2" min="-5"/>
        <cx:tickLabels/>
      </cx:axis>
    </cx:plotArea>
  </cx:chart>
  <cx:spPr>
    <a:noFill/>
    <a:ln>
      <a:noFill/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E22B75F8-ADE1-4E90-BAFB-E6A870E10FE0}">
          <cx:tx>
            <cx:txData>
              <cx:f>_xlchart.v1.4</cx:f>
              <cx:v>转股溢价率</cx:v>
            </cx:txData>
          </cx:tx>
          <cx:dataPt idx="150">
            <cx:spPr>
              <a:solidFill>
                <a:srgbClr val="C00000"/>
              </a:solidFill>
              <a:ln w="22225">
                <a:solidFill>
                  <a:srgbClr val="C00000"/>
                </a:solidFill>
              </a:ln>
            </cx:spPr>
          </cx:dataPt>
          <cx:dataPt idx="151">
            <cx:spPr>
              <a:solidFill>
                <a:srgbClr val="C00000"/>
              </a:solidFill>
              <a:ln w="22225">
                <a:solidFill>
                  <a:srgbClr val="C00000"/>
                </a:solidFill>
              </a:ln>
            </cx:spPr>
          </cx:dataPt>
          <cx:dataPt idx="156">
            <cx:spPr>
              <a:solidFill>
                <a:srgbClr val="00B050"/>
              </a:solidFill>
              <a:ln w="22225">
                <a:solidFill>
                  <a:srgbClr val="70AD47">
                    <a:lumMod val="75000"/>
                  </a:srgbClr>
                </a:solidFill>
              </a:ln>
            </cx:spPr>
          </cx:dataPt>
          <cx:dataLabels>
            <cx:numFmt formatCode="#,##0.00_);[红色](#,##0.00)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0.20000000000000001"/>
        <cx:tickLabels/>
      </cx:axis>
    </cx:plotArea>
  </cx:chart>
  <cx:spPr>
    <a:noFill/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boxWhisker" uniqueId="{B911A0B4-853A-40BE-A997-46C42EC0936C}">
          <cx:tx>
            <cx:txData>
              <cx:f>_xlchart.v1.8</cx:f>
              <cx:v>纯债溢价率</cx:v>
            </cx:txData>
          </cx:tx>
          <cx:dataLabels>
            <cx:numFmt formatCode="#,##0.00_);[红色](#,##0.00)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boxWhisker" uniqueId="{15B211D9-CD8D-4F44-A2BF-4E95296A054D}">
          <cx:tx>
            <cx:txData>
              <cx:f>_xlchart.v1.10</cx:f>
              <cx:v>隐含波动率</cx:v>
            </cx:txData>
          </cx:tx>
          <cx:dataLabels>
            <cx:numFmt formatCode="#,##0.00_);[红色](#,##0.00)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plotArea>
      <cx:plotAreaRegion>
        <cx:series layoutId="boxWhisker" uniqueId="{0AD37024-0F5A-4796-802D-80FBE0ABC934}">
          <cx:tx>
            <cx:txData>
              <cx:f>_xlchart.v1.18</cx:f>
              <cx:v>收益率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1.5"/>
        <cx:tickLabels/>
      </cx:axis>
    </cx:plotArea>
  </cx:chart>
  <cx:spPr>
    <a:noFill/>
    <a:ln>
      <a:noFill/>
    </a:ln>
  </cx:spPr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plotArea>
      <cx:plotAreaRegion>
        <cx:series layoutId="boxWhisker" uniqueId="{7F32F458-60C4-4794-89A3-F878735C8AFC}">
          <cx:tx>
            <cx:txData>
              <cx:f>_xlchart.v1.20</cx:f>
              <cx:v>信用利差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-5"/>
        <cx:tickLabels/>
      </cx:axis>
    </cx:plotArea>
  </cx:chart>
  <cx:spPr>
    <a:noFill/>
    <a:ln>
      <a:noFill/>
    </a:ln>
  </cx:spPr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plotArea>
      <cx:plotAreaRegion>
        <cx:series layoutId="boxWhisker" uniqueId="{DBE19BB2-EB79-4496-BB56-11ED9D6D7E14}">
          <cx:tx>
            <cx:txData>
              <cx:f>_xlchart.v1.22</cx:f>
              <cx:v>期限利差</cx:v>
            </cx:txData>
          </cx:tx>
          <cx:dataLabels>
            <cx:numFmt formatCode="#,##0.00_);[红色](#,##0.00)" sourceLinked="0"/>
            <cx:spPr>
              <a:noFill/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120"/>
        <cx:tickLabels/>
      </cx:axis>
    </cx:plotArea>
  </cx:chart>
  <cx:spPr>
    <a:noFill/>
    <a:ln>
      <a:noFill/>
    </a:ln>
  </cx:spPr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plotArea>
      <cx:plotAreaRegion>
        <cx:series layoutId="boxWhisker" uniqueId="{27F46885-0578-4875-B900-ACBBF3A9DCC0}">
          <cx:tx>
            <cx:txData>
              <cx:f>_xlchart.v1.24</cx:f>
              <cx:v>收益率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1.5"/>
        <cx:tickLabels/>
      </cx:axis>
    </cx:plotArea>
  </cx:chart>
  <cx:spPr>
    <a:noFill/>
    <a:ln>
      <a:noFill/>
    </a:ln>
  </cx:spPr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plotArea>
      <cx:plotAreaRegion>
        <cx:series layoutId="boxWhisker" uniqueId="{93BF1B1C-A70E-46CA-B522-B02B925830FF}">
          <cx:tx>
            <cx:txData>
              <cx:f>_xlchart.v1.26</cx:f>
              <cx:v>信用利差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20"/>
        <cx:tickLabels/>
      </cx:axis>
    </cx:plotArea>
  </cx:chart>
  <cx:spPr>
    <a:noFill/>
    <a:ln>
      <a:noFill/>
    </a:ln>
  </cx:spPr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plotArea>
      <cx:plotAreaRegion>
        <cx:series layoutId="boxWhisker" uniqueId="{ADB4020E-ABAE-43E9-8134-4FBDFE501136}">
          <cx:tx>
            <cx:txData>
              <cx:f>_xlchart.v1.28</cx:f>
              <cx:v>期限利差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plotArea>
      <cx:plotAreaRegion>
        <cx:series layoutId="boxWhisker" uniqueId="{BA7EE710-4FC5-437B-8717-5653403FBD48}">
          <cx:tx>
            <cx:txData>
              <cx:f>_xlchart.v1.30</cx:f>
              <cx:v>收益率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5" min="2"/>
        <cx:tickLabels/>
      </cx:axis>
    </cx:plotArea>
  </cx:chart>
  <cx:spPr>
    <a:noFill/>
    <a:ln>
      <a:noFill/>
    </a:ln>
  </cx:spPr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plotArea>
      <cx:plotAreaRegion>
        <cx:series layoutId="boxWhisker" uniqueId="{B431F829-38E8-4C57-A513-4A3753C61FC6}">
          <cx:tx>
            <cx:txData>
              <cx:f>_xlchart.v1.32</cx:f>
              <cx:v>期限利率</cx:v>
            </cx:txData>
          </cx:tx>
          <cx:dataLabels>
            <cx:numFmt formatCode="#,##0_);[红色](#,##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plotArea>
      <cx:plotAreaRegion>
        <cx:series layoutId="boxWhisker" uniqueId="{8CDC33A5-5D9E-4A96-AD81-E85988DAE276}">
          <cx:tx>
            <cx:txData>
              <cx:f>_xlchart.v1.34</cx:f>
              <cx:v>VIX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10"/>
        <cx:tickLabels/>
      </cx:axis>
    </cx:plotArea>
  </cx:chart>
  <cx:spPr>
    <a:noFill/>
    <a:ln>
      <a:noFill/>
    </a:ln>
  </cx:spPr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  <cx:spPr>
    <a:noFill/>
    <a:ln>
      <a:noFill/>
    </a:ln>
  </cx:spPr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</cx:chartData>
  <cx:chart>
    <cx:plotArea>
      <cx:plotAreaRegion>
        <cx:series layoutId="boxWhisker" uniqueId="{45D4158C-958E-457A-B9C8-DB2B031CFF21}">
          <cx:tx>
            <cx:txData>
              <cx:f>_xlchart.v1.42</cx:f>
              <cx:v>内外盘价差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-20"/>
        <cx:tickLabels/>
      </cx:axis>
    </cx:plotArea>
  </cx:chart>
  <cx:spPr>
    <a:noFill/>
    <a:ln>
      <a:noFill/>
    </a:ln>
  </cx:spPr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</cx:chartData>
  <cx:chart>
    <cx:plotArea>
      <cx:plotAreaRegion>
        <cx:series layoutId="boxWhisker" uniqueId="{6E86789B-3087-43F7-BAFC-B74CA0820658}">
          <cx:tx>
            <cx:txData>
              <cx:f>_xlchart.v1.44</cx:f>
              <cx:v>美国实际利率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</cx:chartData>
  <cx:chart>
    <cx:plotArea>
      <cx:plotAreaRegion>
        <cx:series layoutId="boxWhisker" uniqueId="{D3E584B1-5E9A-4038-9697-D42F9BF7C09D}">
          <cx:tx>
            <cx:txData>
              <cx:f>_xlchart.v1.46</cx:f>
              <cx:v>USDCNY中间价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6.2000000000000002"/>
        <cx:tickLabels/>
      </cx:axis>
    </cx:plotArea>
  </cx:chart>
  <cx:spPr>
    <a:noFill/>
    <a:ln>
      <a:noFill/>
    </a:ln>
  </cx:spPr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</cx:chartData>
  <cx:chart>
    <cx:plotArea>
      <cx:plotAreaRegion>
        <cx:series layoutId="boxWhisker" uniqueId="{14F4A534-BFDA-406D-A87D-02E19782F5CD}">
          <cx:tx>
            <cx:txData>
              <cx:f>_xlchart.v1.48</cx:f>
              <cx:v>螺卷差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</cx:chartData>
  <cx:chart>
    <cx:plotArea>
      <cx:plotAreaRegion>
        <cx:series layoutId="boxWhisker" uniqueId="{D961F042-C601-4B44-88F5-6D1B73ADD57C}">
          <cx:tx>
            <cx:txData>
              <cx:f>_xlchart.v1.50</cx:f>
              <cx:v>铁矿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1100" min="600"/>
        <cx:tickLabels/>
      </cx:axis>
    </cx:plotArea>
  </cx:chart>
  <cx:spPr>
    <a:noFill/>
    <a:ln>
      <a:noFill/>
    </a:ln>
  </cx:spPr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</cx:chartData>
  <cx:chart>
    <cx:plotArea>
      <cx:plotAreaRegion>
        <cx:series layoutId="boxWhisker" uniqueId="{1D4497C9-AFFE-4DFA-A8EB-921E56BA43B4}">
          <cx:tx>
            <cx:txData>
              <cx:f>_xlchart.v1.52</cx:f>
              <cx:v>USDCNY中间价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6.2000000000000002"/>
        <cx:tickLabels/>
      </cx:axis>
    </cx:plotArea>
  </cx:chart>
  <cx:spPr>
    <a:noFill/>
    <a:ln>
      <a:noFill/>
    </a:ln>
  </cx:spPr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</cx:chartData>
  <cx:chart>
    <cx:plotArea>
      <cx:plotAreaRegion>
        <cx:series layoutId="boxWhisker" uniqueId="{C958618B-7D86-4670-A713-3342538EBFC7}">
          <cx:tx>
            <cx:txData>
              <cx:f>_xlchart.v1.54</cx:f>
              <cx:v>WTI与布油价差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</cx:chartData>
  <cx:chart>
    <cx:plotArea>
      <cx:plotAreaRegion>
        <cx:series layoutId="boxWhisker" uniqueId="{0D363838-54C9-4387-ADAF-66BC4F95062E}">
          <cx:tx>
            <cx:txData>
              <cx:f>_xlchart.v1.56</cx:f>
              <cx:v>美元指数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  <cx:dataLabel idx="155">
              <cx:numFmt formatCode="#,##0.00_);[红色](#,##0.00)" sourceLinked="0"/>
              <cx:separator>, </cx:separato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95"/>
        <cx:tickLabels/>
      </cx:axis>
    </cx:plotArea>
  </cx:chart>
  <cx:spPr>
    <a:noFill/>
    <a:ln>
      <a:noFill/>
    </a:ln>
  </cx:spPr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</cx:chartData>
  <cx:chart>
    <cx:plotArea>
      <cx:plotAreaRegion>
        <cx:series layoutId="boxWhisker" uniqueId="{78DDC946-A037-48F6-9373-4822FD36E34D}">
          <cx:tx>
            <cx:txData>
              <cx:f>_xlchart.v1.58</cx:f>
              <cx:v>USDCNY中间价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ax="7.5" min="6.0999999999999996"/>
        <cx:tickLabels/>
      </cx:axis>
    </cx:plotArea>
  </cx:chart>
  <cx:spPr>
    <a:noFill/>
    <a:ln>
      <a:noFill/>
    </a:ln>
  </cx:spPr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</cx:chartData>
  <cx:chart>
    <cx:plotArea>
      <cx:plotAreaRegion>
        <cx:series layoutId="boxWhisker" uniqueId="{BFEA6AC9-7C17-4167-A19A-EB9A77057E0C}">
          <cx:tx>
            <cx:txData>
              <cx:f>_xlchart.v1.36</cx:f>
              <cx:v>期现价差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plotArea>
      <cx:plotAreaRegion>
        <cx:series layoutId="boxWhisker" uniqueId="{6D8AB6A1-3BE7-495D-B5BA-ED5EEBD8E975}">
          <cx:tx>
            <cx:txData>
              <cx:f>_xlchart.v1.38</cx:f>
              <cx:v>持仓</cx:v>
            </cx:txData>
          </cx:tx>
          <cx:dataLabels>
            <cx:numFmt formatCode="#,##0_);[红色](#,##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500000"/>
        <cx:tickLabels/>
      </cx:axis>
    </cx:plotArea>
  </cx:chart>
  <cx:spPr>
    <a:noFill/>
    <a:ln>
      <a:noFill/>
    </a:ln>
  </cx:spPr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</cx:chartData>
  <cx:chart>
    <cx:plotArea>
      <cx:plotAreaRegion>
        <cx:series layoutId="boxWhisker" uniqueId="{F14F227A-D1D0-40EC-B657-EC8AF8F7118D}">
          <cx:tx>
            <cx:txData>
              <cx:f>_xlchart.v1.40</cx:f>
              <cx:v>USDCNY中间价</cx:v>
            </cx:txData>
          </cx:tx>
          <cx:dataLabels>
            <cx:numFmt formatCode="#,##0.00_);[红色](#,##0.00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600"/>
                </a:pPr>
                <a:endParaRPr lang="zh-CN" altLang="en-US" sz="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 hidden="1">
        <cx:valScaling min="6.2999999999999998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7.xml"/><Relationship Id="rId3" Type="http://schemas.microsoft.com/office/2014/relationships/chartEx" Target="../charts/chartEx12.xml"/><Relationship Id="rId7" Type="http://schemas.microsoft.com/office/2014/relationships/chartEx" Target="../charts/chartEx16.xml"/><Relationship Id="rId2" Type="http://schemas.microsoft.com/office/2014/relationships/chartEx" Target="../charts/chartEx11.xml"/><Relationship Id="rId1" Type="http://schemas.microsoft.com/office/2014/relationships/chartEx" Target="../charts/chartEx10.xml"/><Relationship Id="rId6" Type="http://schemas.microsoft.com/office/2014/relationships/chartEx" Target="../charts/chartEx15.xml"/><Relationship Id="rId5" Type="http://schemas.microsoft.com/office/2014/relationships/chartEx" Target="../charts/chartEx14.xml"/><Relationship Id="rId4" Type="http://schemas.microsoft.com/office/2014/relationships/chartEx" Target="../charts/chartEx13.xml"/><Relationship Id="rId9" Type="http://schemas.microsoft.com/office/2014/relationships/chartEx" Target="../charts/chartEx18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9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27.xml"/><Relationship Id="rId3" Type="http://schemas.microsoft.com/office/2014/relationships/chartEx" Target="../charts/chartEx22.xml"/><Relationship Id="rId7" Type="http://schemas.microsoft.com/office/2014/relationships/chartEx" Target="../charts/chartEx26.xml"/><Relationship Id="rId12" Type="http://schemas.microsoft.com/office/2014/relationships/chartEx" Target="../charts/chartEx31.xml"/><Relationship Id="rId2" Type="http://schemas.microsoft.com/office/2014/relationships/chartEx" Target="../charts/chartEx21.xml"/><Relationship Id="rId1" Type="http://schemas.microsoft.com/office/2014/relationships/chartEx" Target="../charts/chartEx20.xml"/><Relationship Id="rId6" Type="http://schemas.microsoft.com/office/2014/relationships/chartEx" Target="../charts/chartEx25.xml"/><Relationship Id="rId11" Type="http://schemas.microsoft.com/office/2014/relationships/chartEx" Target="../charts/chartEx30.xml"/><Relationship Id="rId5" Type="http://schemas.microsoft.com/office/2014/relationships/chartEx" Target="../charts/chartEx24.xml"/><Relationship Id="rId10" Type="http://schemas.microsoft.com/office/2014/relationships/chartEx" Target="../charts/chartEx29.xml"/><Relationship Id="rId4" Type="http://schemas.microsoft.com/office/2014/relationships/chartEx" Target="../charts/chartEx23.xml"/><Relationship Id="rId9" Type="http://schemas.microsoft.com/office/2014/relationships/chartEx" Target="../charts/chartEx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15</xdr:col>
      <xdr:colOff>216900</xdr:colOff>
      <xdr:row>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8002D1E8-847E-4BB3-9211-EA22CDEE02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500" y="38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2</xdr:row>
      <xdr:rowOff>0</xdr:rowOff>
    </xdr:from>
    <xdr:to>
      <xdr:col>19</xdr:col>
      <xdr:colOff>216900</xdr:colOff>
      <xdr:row>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图表 8">
              <a:extLst>
                <a:ext uri="{FF2B5EF4-FFF2-40B4-BE49-F238E27FC236}">
                  <a16:creationId xmlns:a16="http://schemas.microsoft.com/office/drawing/2014/main" id="{3477837A-89F7-48CA-A717-BDCCE6F36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900" y="38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216900</xdr:colOff>
      <xdr:row>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图表 10">
              <a:extLst>
                <a:ext uri="{FF2B5EF4-FFF2-40B4-BE49-F238E27FC236}">
                  <a16:creationId xmlns:a16="http://schemas.microsoft.com/office/drawing/2014/main" id="{728CB96C-FC0B-456E-A4EE-A97F582BA2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4300" y="38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27</xdr:row>
      <xdr:rowOff>0</xdr:rowOff>
    </xdr:from>
    <xdr:to>
      <xdr:col>15</xdr:col>
      <xdr:colOff>216900</xdr:colOff>
      <xdr:row>34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61E2A7C0-5055-4BE9-9A4D-5D98CDBE73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500" y="5143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27</xdr:row>
      <xdr:rowOff>0</xdr:rowOff>
    </xdr:from>
    <xdr:to>
      <xdr:col>19</xdr:col>
      <xdr:colOff>216900</xdr:colOff>
      <xdr:row>34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图表 14">
              <a:extLst>
                <a:ext uri="{FF2B5EF4-FFF2-40B4-BE49-F238E27FC236}">
                  <a16:creationId xmlns:a16="http://schemas.microsoft.com/office/drawing/2014/main" id="{0904789A-BD00-4A86-B338-21A6CA1BB5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900" y="5143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27</xdr:row>
      <xdr:rowOff>0</xdr:rowOff>
    </xdr:from>
    <xdr:to>
      <xdr:col>23</xdr:col>
      <xdr:colOff>216900</xdr:colOff>
      <xdr:row>34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图表 16">
              <a:extLst>
                <a:ext uri="{FF2B5EF4-FFF2-40B4-BE49-F238E27FC236}">
                  <a16:creationId xmlns:a16="http://schemas.microsoft.com/office/drawing/2014/main" id="{4CA7A402-6828-49C1-9DA9-BE8E55AFA1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4300" y="5143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15</xdr:row>
      <xdr:rowOff>0</xdr:rowOff>
    </xdr:from>
    <xdr:to>
      <xdr:col>15</xdr:col>
      <xdr:colOff>102600</xdr:colOff>
      <xdr:row>22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085E6F4C-5DEC-4EBF-A083-2670D2398B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500" y="2857500"/>
              <a:ext cx="21219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15</xdr:row>
      <xdr:rowOff>0</xdr:rowOff>
    </xdr:from>
    <xdr:to>
      <xdr:col>19</xdr:col>
      <xdr:colOff>102600</xdr:colOff>
      <xdr:row>22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E7A6F3FD-A988-4F48-B37C-3A43D12993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900" y="2857500"/>
              <a:ext cx="21219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14</xdr:row>
      <xdr:rowOff>0</xdr:rowOff>
    </xdr:from>
    <xdr:to>
      <xdr:col>23</xdr:col>
      <xdr:colOff>102600</xdr:colOff>
      <xdr:row>21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图表 7">
              <a:extLst>
                <a:ext uri="{FF2B5EF4-FFF2-40B4-BE49-F238E27FC236}">
                  <a16:creationId xmlns:a16="http://schemas.microsoft.com/office/drawing/2014/main" id="{6D5B0C58-2F27-4CFB-91D3-BF0AEABD56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4300" y="2667000"/>
              <a:ext cx="21219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15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98439C5A-1243-446F-9AD1-556CBF8F0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</xdr:row>
      <xdr:rowOff>0</xdr:rowOff>
    </xdr:from>
    <xdr:to>
      <xdr:col>19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48267956-0C72-44C9-86A3-3EDD180C00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63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1</xdr:row>
      <xdr:rowOff>0</xdr:rowOff>
    </xdr:from>
    <xdr:to>
      <xdr:col>23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图表 7">
              <a:extLst>
                <a:ext uri="{FF2B5EF4-FFF2-40B4-BE49-F238E27FC236}">
                  <a16:creationId xmlns:a16="http://schemas.microsoft.com/office/drawing/2014/main" id="{8E88E9BC-1CD6-4609-B0C0-38DE5C6947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287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11</xdr:row>
      <xdr:rowOff>0</xdr:rowOff>
    </xdr:from>
    <xdr:to>
      <xdr:col>15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图表 9">
              <a:extLst>
                <a:ext uri="{FF2B5EF4-FFF2-40B4-BE49-F238E27FC236}">
                  <a16:creationId xmlns:a16="http://schemas.microsoft.com/office/drawing/2014/main" id="{0BDA9697-96AF-449C-84D9-2F057558EC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11</xdr:row>
      <xdr:rowOff>0</xdr:rowOff>
    </xdr:from>
    <xdr:to>
      <xdr:col>19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图表 11">
              <a:extLst>
                <a:ext uri="{FF2B5EF4-FFF2-40B4-BE49-F238E27FC236}">
                  <a16:creationId xmlns:a16="http://schemas.microsoft.com/office/drawing/2014/main" id="{C55FE5CB-7807-451A-89BB-712B7EB421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63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11</xdr:row>
      <xdr:rowOff>0</xdr:rowOff>
    </xdr:from>
    <xdr:to>
      <xdr:col>23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图表 13">
              <a:extLst>
                <a:ext uri="{FF2B5EF4-FFF2-40B4-BE49-F238E27FC236}">
                  <a16:creationId xmlns:a16="http://schemas.microsoft.com/office/drawing/2014/main" id="{AB0DA119-B0F0-491E-98DE-7F11D98CE3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287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21</xdr:row>
      <xdr:rowOff>0</xdr:rowOff>
    </xdr:from>
    <xdr:to>
      <xdr:col>15</xdr:col>
      <xdr:colOff>216900</xdr:colOff>
      <xdr:row>28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图表 15">
              <a:extLst>
                <a:ext uri="{FF2B5EF4-FFF2-40B4-BE49-F238E27FC236}">
                  <a16:creationId xmlns:a16="http://schemas.microsoft.com/office/drawing/2014/main" id="{9783EB06-8FFE-42CE-8061-3D3E6DAB87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400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21</xdr:row>
      <xdr:rowOff>0</xdr:rowOff>
    </xdr:from>
    <xdr:to>
      <xdr:col>19</xdr:col>
      <xdr:colOff>216900</xdr:colOff>
      <xdr:row>28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图表 17">
              <a:extLst>
                <a:ext uri="{FF2B5EF4-FFF2-40B4-BE49-F238E27FC236}">
                  <a16:creationId xmlns:a16="http://schemas.microsoft.com/office/drawing/2014/main" id="{36FFAE0B-8BF9-42A8-BC04-DE20711DE6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6300" y="400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21</xdr:row>
      <xdr:rowOff>0</xdr:rowOff>
    </xdr:from>
    <xdr:to>
      <xdr:col>23</xdr:col>
      <xdr:colOff>216900</xdr:colOff>
      <xdr:row>28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图表 19">
              <a:extLst>
                <a:ext uri="{FF2B5EF4-FFF2-40B4-BE49-F238E27FC236}">
                  <a16:creationId xmlns:a16="http://schemas.microsoft.com/office/drawing/2014/main" id="{19A3977C-B515-464D-83D1-0C3F788DBE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28700" y="400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216900</xdr:colOff>
      <xdr:row>7</xdr:row>
      <xdr:rowOff>12700</xdr:rowOff>
    </xdr:from>
    <xdr:to>
      <xdr:col>11</xdr:col>
      <xdr:colOff>342900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1E2197AC-6922-41F4-8FE0-F068EBA25C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1500" y="1346200"/>
              <a:ext cx="1472200" cy="350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18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C4F59B47-CF1E-4305-ACEA-392BB46AC0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1</xdr:row>
      <xdr:rowOff>0</xdr:rowOff>
    </xdr:from>
    <xdr:to>
      <xdr:col>22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0A2AA4DF-BA0B-4D22-BB10-C7FED09EC3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96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216900</xdr:colOff>
      <xdr:row>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2086F1F2-2F03-4378-9FF9-A941740F1A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0" y="19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11</xdr:row>
      <xdr:rowOff>0</xdr:rowOff>
    </xdr:from>
    <xdr:to>
      <xdr:col>18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图表 8">
              <a:extLst>
                <a:ext uri="{FF2B5EF4-FFF2-40B4-BE49-F238E27FC236}">
                  <a16:creationId xmlns:a16="http://schemas.microsoft.com/office/drawing/2014/main" id="{5A045776-9242-41AB-BFD5-837340B789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11</xdr:row>
      <xdr:rowOff>0</xdr:rowOff>
    </xdr:from>
    <xdr:to>
      <xdr:col>22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图表 10">
              <a:extLst>
                <a:ext uri="{FF2B5EF4-FFF2-40B4-BE49-F238E27FC236}">
                  <a16:creationId xmlns:a16="http://schemas.microsoft.com/office/drawing/2014/main" id="{BDEB11B1-5AF6-4FBB-B3A4-0A96D554B6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96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11</xdr:row>
      <xdr:rowOff>0</xdr:rowOff>
    </xdr:from>
    <xdr:to>
      <xdr:col>26</xdr:col>
      <xdr:colOff>216900</xdr:colOff>
      <xdr:row>18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图表 12">
              <a:extLst>
                <a:ext uri="{FF2B5EF4-FFF2-40B4-BE49-F238E27FC236}">
                  <a16:creationId xmlns:a16="http://schemas.microsoft.com/office/drawing/2014/main" id="{0E4BA304-211C-44B3-972A-0F33253E0B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0" y="209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22</xdr:row>
      <xdr:rowOff>0</xdr:rowOff>
    </xdr:from>
    <xdr:to>
      <xdr:col>18</xdr:col>
      <xdr:colOff>216900</xdr:colOff>
      <xdr:row>29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图表 14">
              <a:extLst>
                <a:ext uri="{FF2B5EF4-FFF2-40B4-BE49-F238E27FC236}">
                  <a16:creationId xmlns:a16="http://schemas.microsoft.com/office/drawing/2014/main" id="{180876AC-259E-4F61-A6AC-D84222A1D9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419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22</xdr:row>
      <xdr:rowOff>0</xdr:rowOff>
    </xdr:from>
    <xdr:to>
      <xdr:col>22</xdr:col>
      <xdr:colOff>216900</xdr:colOff>
      <xdr:row>29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图表 17">
              <a:extLst>
                <a:ext uri="{FF2B5EF4-FFF2-40B4-BE49-F238E27FC236}">
                  <a16:creationId xmlns:a16="http://schemas.microsoft.com/office/drawing/2014/main" id="{663F25DC-7676-484A-8987-4A02BAE06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9600" y="4191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21</xdr:row>
      <xdr:rowOff>0</xdr:rowOff>
    </xdr:from>
    <xdr:to>
      <xdr:col>26</xdr:col>
      <xdr:colOff>216900</xdr:colOff>
      <xdr:row>28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图表 19">
              <a:extLst>
                <a:ext uri="{FF2B5EF4-FFF2-40B4-BE49-F238E27FC236}">
                  <a16:creationId xmlns:a16="http://schemas.microsoft.com/office/drawing/2014/main" id="{7F10D759-726F-41EE-9BEC-7620E32B96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0" y="4000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32</xdr:row>
      <xdr:rowOff>0</xdr:rowOff>
    </xdr:from>
    <xdr:to>
      <xdr:col>18</xdr:col>
      <xdr:colOff>216900</xdr:colOff>
      <xdr:row>39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图表 21">
              <a:extLst>
                <a:ext uri="{FF2B5EF4-FFF2-40B4-BE49-F238E27FC236}">
                  <a16:creationId xmlns:a16="http://schemas.microsoft.com/office/drawing/2014/main" id="{5667581D-6BFC-43D8-825B-43F668DA08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6096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32</xdr:row>
      <xdr:rowOff>0</xdr:rowOff>
    </xdr:from>
    <xdr:to>
      <xdr:col>22</xdr:col>
      <xdr:colOff>216900</xdr:colOff>
      <xdr:row>39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图表 23">
              <a:extLst>
                <a:ext uri="{FF2B5EF4-FFF2-40B4-BE49-F238E27FC236}">
                  <a16:creationId xmlns:a16="http://schemas.microsoft.com/office/drawing/2014/main" id="{801B5841-18E1-4AC4-80A3-07D72B6B6B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9600" y="60960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31</xdr:row>
      <xdr:rowOff>0</xdr:rowOff>
    </xdr:from>
    <xdr:to>
      <xdr:col>26</xdr:col>
      <xdr:colOff>216900</xdr:colOff>
      <xdr:row>38</xdr:row>
      <xdr:rowOff>173175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图表 25">
              <a:extLst>
                <a:ext uri="{FF2B5EF4-FFF2-40B4-BE49-F238E27FC236}">
                  <a16:creationId xmlns:a16="http://schemas.microsoft.com/office/drawing/2014/main" id="{5FEB5C82-0EB6-4A7D-8AA8-DDF3A889AC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72000" y="5905500"/>
              <a:ext cx="2236200" cy="15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anshengxia/Library/Group%20Containers/UBF8T346G9.Office/User%20Content.localized/Add-ins/windfunc.xlam" TargetMode="External"/><Relationship Id="rId1" Type="http://schemas.openxmlformats.org/officeDocument/2006/relationships/externalLinkPath" Target="/Users/fanshengxia/Library/Group%20Containers/UBF8T346G9.Office/User%20Content.localized/Add-ins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cb_anal_convpremiumratio"/>
      <definedName name="cb_anal_straightbondpremiumratio"/>
      <definedName name="edb"/>
      <definedName name="i_dq_close"/>
      <definedName name="s_dq_close"/>
      <definedName name="s_dq_oi"/>
      <definedName name="s_val_pb_lf"/>
      <definedName name="s_val_pe_ttm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5150-6E05-43B1-895C-D830AEB6E885}">
  <sheetPr codeName="Sheet1">
    <tabColor rgb="FFC00000"/>
  </sheetPr>
  <dimension ref="A1:N25"/>
  <sheetViews>
    <sheetView showGridLines="0" zoomScale="70" zoomScaleNormal="70" workbookViewId="0">
      <selection activeCell="G14" sqref="G14"/>
    </sheetView>
  </sheetViews>
  <sheetFormatPr baseColWidth="10" defaultColWidth="9.1640625" defaultRowHeight="17"/>
  <cols>
    <col min="1" max="1" width="22.6640625" style="2" customWidth="1"/>
    <col min="2" max="2" width="12.5" style="2" bestFit="1" customWidth="1"/>
    <col min="3" max="3" width="13.5" style="2" bestFit="1" customWidth="1"/>
    <col min="4" max="4" width="13.33203125" style="2" bestFit="1" customWidth="1"/>
    <col min="5" max="5" width="11.1640625" style="2" bestFit="1" customWidth="1"/>
    <col min="6" max="6" width="13.33203125" style="2" bestFit="1" customWidth="1"/>
    <col min="7" max="7" width="15.83203125" style="2" bestFit="1" customWidth="1"/>
    <col min="8" max="8" width="16.1640625" style="2" bestFit="1" customWidth="1"/>
    <col min="9" max="9" width="13" style="2" bestFit="1" customWidth="1"/>
    <col min="10" max="10" width="10" style="2" bestFit="1" customWidth="1"/>
    <col min="11" max="11" width="9.1640625" style="2" bestFit="1" customWidth="1"/>
    <col min="12" max="13" width="8.6640625" style="2" bestFit="1" customWidth="1"/>
    <col min="14" max="14" width="10.33203125" style="2" bestFit="1" customWidth="1"/>
    <col min="15" max="16384" width="9.1640625" style="2"/>
  </cols>
  <sheetData>
    <row r="1" spans="1:14" ht="21">
      <c r="A1" s="21" t="s">
        <v>185</v>
      </c>
      <c r="B1" s="18" t="s">
        <v>187</v>
      </c>
      <c r="C1" s="23" t="s">
        <v>105</v>
      </c>
      <c r="D1" s="23" t="s">
        <v>117</v>
      </c>
      <c r="E1" s="23" t="s">
        <v>113</v>
      </c>
      <c r="F1" s="23" t="s">
        <v>109</v>
      </c>
      <c r="G1" s="23" t="s">
        <v>100</v>
      </c>
      <c r="H1" s="23" t="s">
        <v>116</v>
      </c>
      <c r="I1" s="23" t="s">
        <v>115</v>
      </c>
      <c r="J1" s="23" t="s">
        <v>114</v>
      </c>
      <c r="K1" s="23" t="s">
        <v>110</v>
      </c>
      <c r="L1" s="23" t="s">
        <v>111</v>
      </c>
      <c r="M1" s="23" t="s">
        <v>112</v>
      </c>
      <c r="N1" s="18" t="s">
        <v>179</v>
      </c>
    </row>
    <row r="2" spans="1:14" ht="21">
      <c r="A2" s="22">
        <f ca="1">TODAY()-1</f>
        <v>46046</v>
      </c>
      <c r="B2" s="19" t="s">
        <v>186</v>
      </c>
      <c r="C2" s="18" t="s">
        <v>22</v>
      </c>
      <c r="D2" s="18" t="s">
        <v>23</v>
      </c>
      <c r="E2" s="18" t="s">
        <v>24</v>
      </c>
      <c r="F2" s="18" t="s">
        <v>25</v>
      </c>
      <c r="G2" s="18" t="s">
        <v>31</v>
      </c>
      <c r="H2" s="18" t="s">
        <v>32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30</v>
      </c>
      <c r="N2" s="18" t="s">
        <v>179</v>
      </c>
    </row>
    <row r="3" spans="1:14">
      <c r="B3" s="19">
        <f t="shared" ref="B3:B7" ca="1" si="0">WORKDAY(B4,-1)</f>
        <v>46015</v>
      </c>
      <c r="C3" s="18" cm="1">
        <f t="array" aca="1" ref="C3" ca="1">[1]!i_dq_close($C$2,B3)</f>
        <v>3940.9470000000001</v>
      </c>
      <c r="D3" s="18" cm="1">
        <f t="array" aca="1" ref="D3" ca="1">[1]!s_dq_close($D$2,B3)</f>
        <v>490.37990000000002</v>
      </c>
      <c r="E3" s="18" cm="1">
        <f t="array" aca="1" ref="E3" ca="1">[1]!s_dq_close($E$2,B3)</f>
        <v>6932.05</v>
      </c>
      <c r="F3" s="18" cm="1">
        <f t="array" aca="1" ref="F3" ca="1">[1]!s_dq_close($F$2,B3)</f>
        <v>186.36250000000001</v>
      </c>
      <c r="G3" s="18" cm="1">
        <f t="array" aca="1" ref="G3" ca="1">[1]!s_dq_close($G$2,B3)</f>
        <v>227.3546</v>
      </c>
      <c r="H3" s="18" cm="1">
        <f t="array" aca="1" ref="H3" ca="1">[1]!s_dq_close($H$2,B3)</f>
        <v>4.1355000000000004</v>
      </c>
      <c r="I3" s="18" cm="1">
        <f t="array" aca="1" ref="I3" ca="1">[1]!s_dq_close($I$2,B3)</f>
        <v>7.0160999999999998</v>
      </c>
      <c r="J3" s="18" cm="1">
        <f t="array" aca="1" ref="J3" ca="1">[1]!s_dq_close($J$2,B3)</f>
        <v>1014.68</v>
      </c>
      <c r="K3" s="18" cm="1">
        <f t="array" aca="1" ref="K3" ca="1">[1]!s_dq_close($K$2,B3)</f>
        <v>3136</v>
      </c>
      <c r="L3" s="18" cm="1">
        <f t="array" aca="1" ref="L3" ca="1">[1]!s_dq_close($L$2,B3)</f>
        <v>444.7</v>
      </c>
      <c r="M3" s="18" cm="1">
        <f t="array" aca="1" ref="M3" ca="1">[1]!s_dq_close($M$2,B3)</f>
        <v>2728</v>
      </c>
      <c r="N3" s="20">
        <f ca="1">-[1]!s_dq_close("USDCNY1YS.IB",B3)/10000/[1]!s_dq_close("USDCNH.FX",B3)</f>
        <v>1.6781779781951025E-2</v>
      </c>
    </row>
    <row r="4" spans="1:14">
      <c r="B4" s="19">
        <f t="shared" ca="1" si="0"/>
        <v>46016</v>
      </c>
      <c r="C4" s="18" cm="1">
        <f t="array" aca="1" ref="C4" ca="1">[1]!i_dq_close($C$2,B4)</f>
        <v>3959.6210999999998</v>
      </c>
      <c r="D4" s="18" cm="1">
        <f t="array" aca="1" ref="D4" ca="1">[1]!s_dq_close($D$2,B4)</f>
        <v>493.46390000000002</v>
      </c>
      <c r="E4" s="18" cm="1">
        <f t="array" aca="1" ref="E4" ca="1">[1]!s_dq_close($E$2,B4)</f>
        <v>6932.05</v>
      </c>
      <c r="F4" s="18" cm="1">
        <f t="array" aca="1" ref="F4" ca="1">[1]!s_dq_close($F$2,B4)</f>
        <v>186.30109999999999</v>
      </c>
      <c r="G4" s="18" cm="1">
        <f t="array" aca="1" ref="G4" ca="1">[1]!s_dq_close($G$2,B4)</f>
        <v>227.39179999999999</v>
      </c>
      <c r="H4" s="18" cm="1">
        <f t="array" aca="1" ref="H4" ca="1">[1]!s_dq_close($H$2,B4)</f>
        <v>4.1355000000000004</v>
      </c>
      <c r="I4" s="18" cm="1">
        <f t="array" aca="1" ref="I4" ca="1">[1]!s_dq_close($I$2,B4)</f>
        <v>7.0065999999999997</v>
      </c>
      <c r="J4" s="18" cm="1">
        <f t="array" aca="1" ref="J4" ca="1">[1]!s_dq_close($J$2,B4)</f>
        <v>1008.76</v>
      </c>
      <c r="K4" s="18" cm="1">
        <f t="array" aca="1" ref="K4" ca="1">[1]!s_dq_close($K$2,B4)</f>
        <v>3127</v>
      </c>
      <c r="L4" s="18" cm="1">
        <f t="array" aca="1" ref="L4" ca="1">[1]!s_dq_close($L$2,B4)</f>
        <v>442.7</v>
      </c>
      <c r="M4" s="18" cm="1">
        <f t="array" aca="1" ref="M4" ca="1">[1]!s_dq_close($M$2,B4)</f>
        <v>2760</v>
      </c>
      <c r="N4" s="20">
        <f ca="1">-[1]!s_dq_close("USDCNY1YS.IB",B4)/10000/[1]!s_dq_close("USDCNH.FX",B4)</f>
        <v>1.5897728895872015E-2</v>
      </c>
    </row>
    <row r="5" spans="1:14">
      <c r="B5" s="19">
        <f t="shared" ca="1" si="0"/>
        <v>46017</v>
      </c>
      <c r="C5" s="18" cm="1">
        <f t="array" aca="1" ref="C5" ca="1">[1]!i_dq_close($C$2,B5)</f>
        <v>3963.6788999999999</v>
      </c>
      <c r="D5" s="18" cm="1">
        <f t="array" aca="1" ref="D5" ca="1">[1]!s_dq_close($D$2,B5)</f>
        <v>493.24930000000001</v>
      </c>
      <c r="E5" s="18" cm="1">
        <f t="array" aca="1" ref="E5" ca="1">[1]!s_dq_close($E$2,B5)</f>
        <v>6929.94</v>
      </c>
      <c r="F5" s="18" cm="1">
        <f t="array" aca="1" ref="F5" ca="1">[1]!s_dq_close($F$2,B5)</f>
        <v>186.3134</v>
      </c>
      <c r="G5" s="18" cm="1">
        <f t="array" aca="1" ref="G5" ca="1">[1]!s_dq_close($G$2,B5)</f>
        <v>227.41829999999999</v>
      </c>
      <c r="H5" s="18" cm="1">
        <f t="array" aca="1" ref="H5" ca="1">[1]!s_dq_close($H$2,B5)</f>
        <v>4.1276999999999999</v>
      </c>
      <c r="I5" s="18" cm="1">
        <f t="array" aca="1" ref="I5" ca="1">[1]!s_dq_close($I$2,B5)</f>
        <v>7.0084999999999997</v>
      </c>
      <c r="J5" s="18" cm="1">
        <f t="array" aca="1" ref="J5" ca="1">[1]!s_dq_close($J$2,B5)</f>
        <v>1016.3</v>
      </c>
      <c r="K5" s="18" cm="1">
        <f t="array" aca="1" ref="K5" ca="1">[1]!s_dq_close($K$2,B5)</f>
        <v>3118</v>
      </c>
      <c r="L5" s="18" cm="1">
        <f t="array" aca="1" ref="L5" ca="1">[1]!s_dq_close($L$2,B5)</f>
        <v>441.8</v>
      </c>
      <c r="M5" s="18" cm="1">
        <f t="array" aca="1" ref="M5" ca="1">[1]!s_dq_close($M$2,B5)</f>
        <v>2790</v>
      </c>
      <c r="N5" s="20">
        <f ca="1">-[1]!s_dq_close("USDCNY1YS.IB",B5)/10000/[1]!s_dq_close("USDCNH.FX",B5)</f>
        <v>1.5719139944604665E-2</v>
      </c>
    </row>
    <row r="6" spans="1:14">
      <c r="B6" s="19">
        <f t="shared" ca="1" si="0"/>
        <v>46020</v>
      </c>
      <c r="C6" s="18" cm="1">
        <f t="array" aca="1" ref="C6" ca="1">[1]!i_dq_close($C$2,B6)</f>
        <v>3965.2795999999998</v>
      </c>
      <c r="D6" s="18" cm="1">
        <f t="array" aca="1" ref="D6" ca="1">[1]!s_dq_close($D$2,B6)</f>
        <v>491.14479999999998</v>
      </c>
      <c r="E6" s="18" cm="1">
        <f t="array" aca="1" ref="E6" ca="1">[1]!s_dq_close($E$2,B6)</f>
        <v>6905.74</v>
      </c>
      <c r="F6" s="18" cm="1">
        <f t="array" aca="1" ref="F6" ca="1">[1]!s_dq_close($F$2,B6)</f>
        <v>185.91</v>
      </c>
      <c r="G6" s="18" cm="1">
        <f t="array" aca="1" ref="G6" ca="1">[1]!s_dq_close($G$2,B6)</f>
        <v>227.43790000000001</v>
      </c>
      <c r="H6" s="18" cm="1">
        <f t="array" aca="1" ref="H6" ca="1">[1]!s_dq_close($H$2,B6)</f>
        <v>4.1101999999999999</v>
      </c>
      <c r="I6" s="18" cm="1">
        <f t="array" aca="1" ref="I6" ca="1">[1]!s_dq_close($I$2,B6)</f>
        <v>7.0098000000000003</v>
      </c>
      <c r="J6" s="18" cm="1">
        <f t="array" aca="1" ref="J6" ca="1">[1]!s_dq_close($J$2,B6)</f>
        <v>1007.18</v>
      </c>
      <c r="K6" s="18" cm="1">
        <f t="array" aca="1" ref="K6" ca="1">[1]!s_dq_close($K$2,B6)</f>
        <v>3130</v>
      </c>
      <c r="L6" s="18" cm="1">
        <f t="array" aca="1" ref="L6" ca="1">[1]!s_dq_close($L$2,B6)</f>
        <v>434.8</v>
      </c>
      <c r="M6" s="18" cm="1">
        <f t="array" aca="1" ref="M6" ca="1">[1]!s_dq_close($M$2,B6)</f>
        <v>2774</v>
      </c>
      <c r="N6" s="20">
        <f ca="1">-[1]!s_dq_close("USDCNY1YS.IB",B6)/10000/[1]!s_dq_close("USDCNH.FX",B6)</f>
        <v>1.629036867676479E-2</v>
      </c>
    </row>
    <row r="7" spans="1:14">
      <c r="B7" s="19">
        <f t="shared" ca="1" si="0"/>
        <v>46021</v>
      </c>
      <c r="C7" s="18" cm="1">
        <f t="array" aca="1" ref="C7" ca="1">[1]!i_dq_close($C$2,B7)</f>
        <v>3965.1158999999998</v>
      </c>
      <c r="D7" s="18" cm="1">
        <f t="array" aca="1" ref="D7" ca="1">[1]!s_dq_close($D$2,B7)</f>
        <v>491.82729999999998</v>
      </c>
      <c r="E7" s="18" cm="1">
        <f t="array" aca="1" ref="E7" ca="1">[1]!s_dq_close($E$2,B7)</f>
        <v>6896.24</v>
      </c>
      <c r="F7" s="18" cm="1">
        <f t="array" aca="1" ref="F7" ca="1">[1]!s_dq_close($F$2,B7)</f>
        <v>185.7963</v>
      </c>
      <c r="G7" s="18" cm="1">
        <f t="array" aca="1" ref="G7" ca="1">[1]!s_dq_close($G$2,B7)</f>
        <v>227.44659999999999</v>
      </c>
      <c r="H7" s="18" cm="1">
        <f t="array" aca="1" ref="H7" ca="1">[1]!s_dq_close($H$2,B7)</f>
        <v>4.1199000000000003</v>
      </c>
      <c r="I7" s="18" cm="1">
        <f t="array" aca="1" ref="I7" ca="1">[1]!s_dq_close($I$2,B7)</f>
        <v>6.9901</v>
      </c>
      <c r="J7" s="18" cm="1">
        <f t="array" aca="1" ref="J7" ca="1">[1]!s_dq_close($J$2,B7)</f>
        <v>984.84</v>
      </c>
      <c r="K7" s="18" cm="1">
        <f t="array" aca="1" ref="K7" ca="1">[1]!s_dq_close($K$2,B7)</f>
        <v>3134</v>
      </c>
      <c r="L7" s="18" cm="1">
        <f t="array" aca="1" ref="L7" ca="1">[1]!s_dq_close($L$2,B7)</f>
        <v>436.1</v>
      </c>
      <c r="M7" s="18" cm="1">
        <f t="array" aca="1" ref="M7" ca="1">[1]!s_dq_close($M$2,B7)</f>
        <v>2778</v>
      </c>
      <c r="N7" s="20">
        <f ca="1">-[1]!s_dq_close("USDCNY1YS.IB",B7)/10000/[1]!s_dq_close("USDCNH.FX",B7)</f>
        <v>1.6260743961214477E-2</v>
      </c>
    </row>
    <row r="8" spans="1:14">
      <c r="B8" s="19">
        <f t="shared" ref="B8:B24" ca="1" si="1">WORKDAY(B9,-1)</f>
        <v>46022</v>
      </c>
      <c r="C8" s="18" cm="1">
        <f t="array" aca="1" ref="C8" ca="1">[1]!i_dq_close($C$2,B8)</f>
        <v>3968.8400999999999</v>
      </c>
      <c r="D8" s="18" cm="1">
        <f t="array" aca="1" ref="D8" ca="1">[1]!s_dq_close($D$2,B8)</f>
        <v>491.90170000000001</v>
      </c>
      <c r="E8" s="18" cm="1">
        <f t="array" aca="1" ref="E8" ca="1">[1]!s_dq_close($E$2,B8)</f>
        <v>6845.5</v>
      </c>
      <c r="F8" s="18" cm="1">
        <f t="array" aca="1" ref="F8" ca="1">[1]!s_dq_close($F$2,B8)</f>
        <v>185.86150000000001</v>
      </c>
      <c r="G8" s="18" cm="1">
        <f t="array" aca="1" ref="G8" ca="1">[1]!s_dq_close($G$2,B8)</f>
        <v>227.46129999999999</v>
      </c>
      <c r="H8" s="18" cm="1">
        <f t="array" aca="1" ref="H8" ca="1">[1]!s_dq_close($H$2,B8)</f>
        <v>4.1474000000000002</v>
      </c>
      <c r="I8" s="18" cm="1">
        <f t="array" aca="1" ref="I8" ca="1">[1]!s_dq_close($I$2,B8)</f>
        <v>6.9889999999999999</v>
      </c>
      <c r="J8" s="18" cm="1">
        <f t="array" aca="1" ref="J8" ca="1">[1]!s_dq_close($J$2,B8)</f>
        <v>977.56</v>
      </c>
      <c r="K8" s="18" cm="1">
        <f t="array" aca="1" ref="K8" ca="1">[1]!s_dq_close($K$2,B8)</f>
        <v>3122</v>
      </c>
      <c r="L8" s="18" cm="1">
        <f t="array" aca="1" ref="L8" ca="1">[1]!s_dq_close($L$2,B8)</f>
        <v>432.2</v>
      </c>
      <c r="M8" s="18" cm="1">
        <f t="array" aca="1" ref="M8" ca="1">[1]!s_dq_close($M$2,B8)</f>
        <v>2749</v>
      </c>
      <c r="N8" s="20">
        <f ca="1">-[1]!s_dq_close("USDCNY1YS.IB",B8)/10000/[1]!s_dq_close("USDCNH.FX",B8)</f>
        <v>1.6142212027811628E-2</v>
      </c>
    </row>
    <row r="9" spans="1:14">
      <c r="B9" s="19">
        <f t="shared" ca="1" si="1"/>
        <v>46023</v>
      </c>
      <c r="C9" s="18" cm="1">
        <f t="array" aca="1" ref="C9" ca="1">[1]!i_dq_close($C$2,B9)</f>
        <v>3968.8400999999999</v>
      </c>
      <c r="D9" s="18" cm="1">
        <f t="array" aca="1" ref="D9" ca="1">[1]!s_dq_close($D$2,B9)</f>
        <v>491.90170000000001</v>
      </c>
      <c r="E9" s="18" cm="1">
        <f t="array" aca="1" ref="E9" ca="1">[1]!s_dq_close($E$2,B9)</f>
        <v>6845.5</v>
      </c>
      <c r="F9" s="18" cm="1">
        <f t="array" aca="1" ref="F9" ca="1">[1]!s_dq_close($F$2,B9)</f>
        <v>185.86150000000001</v>
      </c>
      <c r="G9" s="18" cm="1">
        <f t="array" aca="1" ref="G9" ca="1">[1]!s_dq_close($G$2,B9)</f>
        <v>227.46129999999999</v>
      </c>
      <c r="H9" s="18" cm="1">
        <f t="array" aca="1" ref="H9" ca="1">[1]!s_dq_close($H$2,B9)</f>
        <v>4.1768999999999998</v>
      </c>
      <c r="I9" s="18" cm="1">
        <f t="array" aca="1" ref="I9" ca="1">[1]!s_dq_close($I$2,B9)</f>
        <v>6.9889999999999999</v>
      </c>
      <c r="J9" s="18" cm="1">
        <f t="array" aca="1" ref="J9" ca="1">[1]!s_dq_close($J$2,B9)</f>
        <v>977.56</v>
      </c>
      <c r="K9" s="18" cm="1">
        <f t="array" aca="1" ref="K9" ca="1">[1]!s_dq_close($K$2,B9)</f>
        <v>3122</v>
      </c>
      <c r="L9" s="18" cm="1">
        <f t="array" aca="1" ref="L9" ca="1">[1]!s_dq_close($L$2,B9)</f>
        <v>432.2</v>
      </c>
      <c r="M9" s="18" cm="1">
        <f t="array" aca="1" ref="M9" ca="1">[1]!s_dq_close($M$2,B9)</f>
        <v>2749</v>
      </c>
      <c r="N9" s="20">
        <f ca="1">-[1]!s_dq_close("USDCNY1YS.IB",B9)/10000/[1]!s_dq_close("USDCNH.FX",B9)</f>
        <v>1.6131805157593122E-2</v>
      </c>
    </row>
    <row r="10" spans="1:14">
      <c r="B10" s="19">
        <f t="shared" ca="1" si="1"/>
        <v>46024</v>
      </c>
      <c r="C10" s="18" cm="1">
        <f t="array" aca="1" ref="C10" ca="1">[1]!i_dq_close($C$2,B10)</f>
        <v>3968.8400999999999</v>
      </c>
      <c r="D10" s="18" cm="1">
        <f t="array" aca="1" ref="D10" ca="1">[1]!s_dq_close($D$2,B10)</f>
        <v>491.90170000000001</v>
      </c>
      <c r="E10" s="18" cm="1">
        <f t="array" aca="1" ref="E10" ca="1">[1]!s_dq_close($E$2,B10)</f>
        <v>6858.47</v>
      </c>
      <c r="F10" s="18" cm="1">
        <f t="array" aca="1" ref="F10" ca="1">[1]!s_dq_close($F$2,B10)</f>
        <v>185.86150000000001</v>
      </c>
      <c r="G10" s="18" cm="1">
        <f t="array" aca="1" ref="G10" ca="1">[1]!s_dq_close($G$2,B10)</f>
        <v>227.46129999999999</v>
      </c>
      <c r="H10" s="18" cm="1">
        <f t="array" aca="1" ref="H10" ca="1">[1]!s_dq_close($H$2,B10)</f>
        <v>4.1906999999999996</v>
      </c>
      <c r="I10" s="18" cm="1">
        <f t="array" aca="1" ref="I10" ca="1">[1]!s_dq_close($I$2,B10)</f>
        <v>6.9889999999999999</v>
      </c>
      <c r="J10" s="18" cm="1">
        <f t="array" aca="1" ref="J10" ca="1">[1]!s_dq_close($J$2,B10)</f>
        <v>977.56</v>
      </c>
      <c r="K10" s="18" cm="1">
        <f t="array" aca="1" ref="K10" ca="1">[1]!s_dq_close($K$2,B10)</f>
        <v>3122</v>
      </c>
      <c r="L10" s="18" cm="1">
        <f t="array" aca="1" ref="L10" ca="1">[1]!s_dq_close($L$2,B10)</f>
        <v>432.2</v>
      </c>
      <c r="M10" s="18" cm="1">
        <f t="array" aca="1" ref="M10" ca="1">[1]!s_dq_close($M$2,B10)</f>
        <v>2749</v>
      </c>
      <c r="N10" s="20">
        <f ca="1">-[1]!s_dq_close("USDCNY1YS.IB",B10)/10000/[1]!s_dq_close("USDCNH.FX",B10)</f>
        <v>1.615518156645002E-2</v>
      </c>
    </row>
    <row r="11" spans="1:14">
      <c r="B11" s="19">
        <f t="shared" ca="1" si="1"/>
        <v>46027</v>
      </c>
      <c r="C11" s="18" cm="1">
        <f t="array" aca="1" ref="C11" ca="1">[1]!i_dq_close($C$2,B11)</f>
        <v>4023.4167000000002</v>
      </c>
      <c r="D11" s="18" cm="1">
        <f t="array" aca="1" ref="D11" ca="1">[1]!s_dq_close($D$2,B11)</f>
        <v>499.00639999999999</v>
      </c>
      <c r="E11" s="18" cm="1">
        <f t="array" aca="1" ref="E11" ca="1">[1]!s_dq_close($E$2,B11)</f>
        <v>6902.05</v>
      </c>
      <c r="F11" s="18" cm="1">
        <f t="array" aca="1" ref="F11" ca="1">[1]!s_dq_close($F$2,B11)</f>
        <v>185.91139999999999</v>
      </c>
      <c r="G11" s="18" cm="1">
        <f t="array" aca="1" ref="G11" ca="1">[1]!s_dq_close($G$2,B11)</f>
        <v>227.56180000000001</v>
      </c>
      <c r="H11" s="18" cm="1">
        <f t="array" aca="1" ref="H11" ca="1">[1]!s_dq_close($H$2,B11)</f>
        <v>4.1650999999999998</v>
      </c>
      <c r="I11" s="18" cm="1">
        <f t="array" aca="1" ref="I11" ca="1">[1]!s_dq_close($I$2,B11)</f>
        <v>6.9805999999999999</v>
      </c>
      <c r="J11" s="18" cm="1">
        <f t="array" aca="1" ref="J11" ca="1">[1]!s_dq_close($J$2,B11)</f>
        <v>995</v>
      </c>
      <c r="K11" s="18" cm="1">
        <f t="array" aca="1" ref="K11" ca="1">[1]!s_dq_close($K$2,B11)</f>
        <v>3104</v>
      </c>
      <c r="L11" s="18" cm="1">
        <f t="array" aca="1" ref="L11" ca="1">[1]!s_dq_close($L$2,B11)</f>
        <v>421.7</v>
      </c>
      <c r="M11" s="18" cm="1">
        <f t="array" aca="1" ref="M11" ca="1">[1]!s_dq_close($M$2,B11)</f>
        <v>2754</v>
      </c>
      <c r="N11" s="20">
        <f ca="1">-[1]!s_dq_close("USDCNY1YS.IB",B11)/10000/[1]!s_dq_close("USDCNH.FX",B11)</f>
        <v>1.6683612825616864E-2</v>
      </c>
    </row>
    <row r="12" spans="1:14">
      <c r="B12" s="19">
        <f t="shared" ca="1" si="1"/>
        <v>46028</v>
      </c>
      <c r="C12" s="18" cm="1">
        <f t="array" aca="1" ref="C12" ca="1">[1]!i_dq_close($C$2,B12)</f>
        <v>4083.6671999999999</v>
      </c>
      <c r="D12" s="18" cm="1">
        <f t="array" aca="1" ref="D12" ca="1">[1]!s_dq_close($D$2,B12)</f>
        <v>505.76760000000002</v>
      </c>
      <c r="E12" s="18" cm="1">
        <f t="array" aca="1" ref="E12" ca="1">[1]!s_dq_close($E$2,B12)</f>
        <v>6944.82</v>
      </c>
      <c r="F12" s="18" cm="1">
        <f t="array" aca="1" ref="F12" ca="1">[1]!s_dq_close($F$2,B12)</f>
        <v>185.56829999999999</v>
      </c>
      <c r="G12" s="18" cm="1">
        <f t="array" aca="1" ref="G12" ca="1">[1]!s_dq_close($G$2,B12)</f>
        <v>227.55930000000001</v>
      </c>
      <c r="H12" s="18" cm="1">
        <f t="array" aca="1" ref="H12" ca="1">[1]!s_dq_close($H$2,B12)</f>
        <v>4.1691000000000003</v>
      </c>
      <c r="I12" s="18" cm="1">
        <f t="array" aca="1" ref="I12" ca="1">[1]!s_dq_close($I$2,B12)</f>
        <v>6.9813000000000001</v>
      </c>
      <c r="J12" s="18" cm="1">
        <f t="array" aca="1" ref="J12" ca="1">[1]!s_dq_close($J$2,B12)</f>
        <v>1004.98</v>
      </c>
      <c r="K12" s="18" cm="1">
        <f t="array" aca="1" ref="K12" ca="1">[1]!s_dq_close($K$2,B12)</f>
        <v>3111</v>
      </c>
      <c r="L12" s="18" cm="1">
        <f t="array" aca="1" ref="L12" ca="1">[1]!s_dq_close($L$2,B12)</f>
        <v>428.2</v>
      </c>
      <c r="M12" s="18" cm="1">
        <f t="array" aca="1" ref="M12" ca="1">[1]!s_dq_close($M$2,B12)</f>
        <v>2776</v>
      </c>
      <c r="N12" s="20">
        <f ca="1">-[1]!s_dq_close("USDCNY1YS.IB",B12)/10000/[1]!s_dq_close("USDCNH.FX",B12)</f>
        <v>1.6860531744212696E-2</v>
      </c>
    </row>
    <row r="13" spans="1:14">
      <c r="B13" s="19">
        <f t="shared" ca="1" si="1"/>
        <v>46029</v>
      </c>
      <c r="C13" s="18" cm="1">
        <f t="array" aca="1" ref="C13" ca="1">[1]!i_dq_close($C$2,B13)</f>
        <v>4085.7723000000001</v>
      </c>
      <c r="D13" s="18" cm="1">
        <f t="array" aca="1" ref="D13" ca="1">[1]!s_dq_close($D$2,B13)</f>
        <v>507.27620000000002</v>
      </c>
      <c r="E13" s="18" cm="1">
        <f t="array" aca="1" ref="E13" ca="1">[1]!s_dq_close($E$2,B13)</f>
        <v>6920.93</v>
      </c>
      <c r="F13" s="18" cm="1">
        <f t="array" aca="1" ref="F13" ca="1">[1]!s_dq_close($F$2,B13)</f>
        <v>185.3597</v>
      </c>
      <c r="G13" s="18" cm="1">
        <f t="array" aca="1" ref="G13" ca="1">[1]!s_dq_close($G$2,B13)</f>
        <v>227.5455</v>
      </c>
      <c r="H13" s="18" cm="1">
        <f t="array" aca="1" ref="H13" ca="1">[1]!s_dq_close($H$2,B13)</f>
        <v>4.1475</v>
      </c>
      <c r="I13" s="18" cm="1">
        <f t="array" aca="1" ref="I13" ca="1">[1]!s_dq_close($I$2,B13)</f>
        <v>6.9912000000000001</v>
      </c>
      <c r="J13" s="18" cm="1">
        <f t="array" aca="1" ref="J13" ca="1">[1]!s_dq_close($J$2,B13)</f>
        <v>998.9</v>
      </c>
      <c r="K13" s="18" cm="1">
        <f t="array" aca="1" ref="K13" ca="1">[1]!s_dq_close($K$2,B13)</f>
        <v>3187</v>
      </c>
      <c r="L13" s="18" cm="1">
        <f t="array" aca="1" ref="L13" ca="1">[1]!s_dq_close($L$2,B13)</f>
        <v>416.3</v>
      </c>
      <c r="M13" s="18" cm="1">
        <f t="array" aca="1" ref="M13" ca="1">[1]!s_dq_close($M$2,B13)</f>
        <v>2811</v>
      </c>
      <c r="N13" s="20">
        <f ca="1">-[1]!s_dq_close("USDCNY1YS.IB",B13)/10000/[1]!s_dq_close("USDCNH.FX",B13)</f>
        <v>1.7330378208336314E-2</v>
      </c>
    </row>
    <row r="14" spans="1:14">
      <c r="B14" s="19">
        <f t="shared" ca="1" si="1"/>
        <v>46030</v>
      </c>
      <c r="C14" s="18" cm="1">
        <f t="array" aca="1" ref="C14" ca="1">[1]!i_dq_close($C$2,B14)</f>
        <v>4082.9787999999999</v>
      </c>
      <c r="D14" s="18" cm="1">
        <f t="array" aca="1" ref="D14" ca="1">[1]!s_dq_close($D$2,B14)</f>
        <v>509.25689999999997</v>
      </c>
      <c r="E14" s="18" cm="1">
        <f t="array" aca="1" ref="E14" ca="1">[1]!s_dq_close($E$2,B14)</f>
        <v>6921.46</v>
      </c>
      <c r="F14" s="18" cm="1">
        <f t="array" aca="1" ref="F14" ca="1">[1]!s_dq_close($F$2,B14)</f>
        <v>185.6283</v>
      </c>
      <c r="G14" s="18" cm="1">
        <f t="array" aca="1" ref="G14" ca="1">[1]!s_dq_close($G$2,B14)</f>
        <v>227.554</v>
      </c>
      <c r="H14" s="18" cm="1">
        <f t="array" aca="1" ref="H14" ca="1">[1]!s_dq_close($H$2,B14)</f>
        <v>4.1632999999999996</v>
      </c>
      <c r="I14" s="18" cm="1">
        <f t="array" aca="1" ref="I14" ca="1">[1]!s_dq_close($I$2,B14)</f>
        <v>6.9806999999999997</v>
      </c>
      <c r="J14" s="18" cm="1">
        <f t="array" aca="1" ref="J14" ca="1">[1]!s_dq_close($J$2,B14)</f>
        <v>997.94</v>
      </c>
      <c r="K14" s="18" cm="1">
        <f t="array" aca="1" ref="K14" ca="1">[1]!s_dq_close($K$2,B14)</f>
        <v>3168</v>
      </c>
      <c r="L14" s="18" cm="1">
        <f t="array" aca="1" ref="L14" ca="1">[1]!s_dq_close($L$2,B14)</f>
        <v>416.2</v>
      </c>
      <c r="M14" s="18" cm="1">
        <f t="array" aca="1" ref="M14" ca="1">[1]!s_dq_close($M$2,B14)</f>
        <v>2782</v>
      </c>
      <c r="N14" s="20">
        <f ca="1">-[1]!s_dq_close("USDCNY1YS.IB",B14)/10000/[1]!s_dq_close("USDCNH.FX",B14)</f>
        <v>1.7143348180399007E-2</v>
      </c>
    </row>
    <row r="15" spans="1:14">
      <c r="B15" s="19">
        <f t="shared" ca="1" si="1"/>
        <v>46031</v>
      </c>
      <c r="C15" s="18" cm="1">
        <f t="array" aca="1" ref="C15" ca="1">[1]!i_dq_close($C$2,B15)</f>
        <v>4120.4260000000004</v>
      </c>
      <c r="D15" s="18" cm="1">
        <f t="array" aca="1" ref="D15" ca="1">[1]!s_dq_close($D$2,B15)</f>
        <v>513.78890000000001</v>
      </c>
      <c r="E15" s="18" cm="1">
        <f t="array" aca="1" ref="E15" ca="1">[1]!s_dq_close($E$2,B15)</f>
        <v>6966.28</v>
      </c>
      <c r="F15" s="18" cm="1">
        <f t="array" aca="1" ref="F15" ca="1">[1]!s_dq_close($F$2,B15)</f>
        <v>185.61420000000001</v>
      </c>
      <c r="G15" s="18" cm="1">
        <f t="array" aca="1" ref="G15" ca="1">[1]!s_dq_close($G$2,B15)</f>
        <v>227.56880000000001</v>
      </c>
      <c r="H15" s="18" cm="1">
        <f t="array" aca="1" ref="H15" ca="1">[1]!s_dq_close($H$2,B15)</f>
        <v>4.1653000000000002</v>
      </c>
      <c r="I15" s="18" cm="1">
        <f t="array" aca="1" ref="I15" ca="1">[1]!s_dq_close($I$2,B15)</f>
        <v>6.9821</v>
      </c>
      <c r="J15" s="18" cm="1">
        <f t="array" aca="1" ref="J15" ca="1">[1]!s_dq_close($J$2,B15)</f>
        <v>1006.48</v>
      </c>
      <c r="K15" s="18" cm="1">
        <f t="array" aca="1" ref="K15" ca="1">[1]!s_dq_close($K$2,B15)</f>
        <v>3144</v>
      </c>
      <c r="L15" s="18" cm="1">
        <f t="array" aca="1" ref="L15" ca="1">[1]!s_dq_close($L$2,B15)</f>
        <v>432.7</v>
      </c>
      <c r="M15" s="18" cm="1">
        <f t="array" aca="1" ref="M15" ca="1">[1]!s_dq_close($M$2,B15)</f>
        <v>2786</v>
      </c>
      <c r="N15" s="20">
        <f ca="1">-[1]!s_dq_close("USDCNY1YS.IB",B15)/10000/[1]!s_dq_close("USDCNH.FX",B15)</f>
        <v>1.7101490825688074E-2</v>
      </c>
    </row>
    <row r="16" spans="1:14">
      <c r="B16" s="19">
        <f t="shared" ca="1" si="1"/>
        <v>46034</v>
      </c>
      <c r="C16" s="18" cm="1">
        <f t="array" aca="1" ref="C16" ca="1">[1]!i_dq_close($C$2,B16)</f>
        <v>4165.2870000000003</v>
      </c>
      <c r="D16" s="18" cm="1">
        <f t="array" aca="1" ref="D16" ca="1">[1]!s_dq_close($D$2,B16)</f>
        <v>520.82380000000001</v>
      </c>
      <c r="E16" s="18" cm="1">
        <f t="array" aca="1" ref="E16" ca="1">[1]!s_dq_close($E$2,B16)</f>
        <v>6977.27</v>
      </c>
      <c r="F16" s="18" cm="1">
        <f t="array" aca="1" ref="F16" ca="1">[1]!s_dq_close($F$2,B16)</f>
        <v>185.8314</v>
      </c>
      <c r="G16" s="18" cm="1">
        <f t="array" aca="1" ref="G16" ca="1">[1]!s_dq_close($G$2,B16)</f>
        <v>227.61840000000001</v>
      </c>
      <c r="H16" s="18" cm="1">
        <f t="array" aca="1" ref="H16" ca="1">[1]!s_dq_close($H$2,B16)</f>
        <v>4.1752000000000002</v>
      </c>
      <c r="I16" s="18" cm="1">
        <f t="array" aca="1" ref="I16" ca="1">[1]!s_dq_close($I$2,B16)</f>
        <v>6.9741999999999997</v>
      </c>
      <c r="J16" s="18" cm="1">
        <f t="array" aca="1" ref="J16" ca="1">[1]!s_dq_close($J$2,B16)</f>
        <v>1026.28</v>
      </c>
      <c r="K16" s="18" cm="1">
        <f t="array" aca="1" ref="K16" ca="1">[1]!s_dq_close($K$2,B16)</f>
        <v>3165</v>
      </c>
      <c r="L16" s="18" cm="1">
        <f t="array" aca="1" ref="L16" ca="1">[1]!s_dq_close($L$2,B16)</f>
        <v>437.5</v>
      </c>
      <c r="M16" s="18" cm="1">
        <f t="array" aca="1" ref="M16" ca="1">[1]!s_dq_close($M$2,B16)</f>
        <v>2790</v>
      </c>
      <c r="N16" s="20">
        <f ca="1">-[1]!s_dq_close("USDCNY1YS.IB",B16)/10000/[1]!s_dq_close("USDCNH.FX",B16)</f>
        <v>1.709070558353782E-2</v>
      </c>
    </row>
    <row r="17" spans="2:14">
      <c r="B17" s="19">
        <f t="shared" ca="1" si="1"/>
        <v>46035</v>
      </c>
      <c r="C17" s="18" cm="1">
        <f t="array" aca="1" ref="C17" ca="1">[1]!i_dq_close($C$2,B17)</f>
        <v>4138.7584999999999</v>
      </c>
      <c r="D17" s="18" cm="1">
        <f t="array" aca="1" ref="D17" ca="1">[1]!s_dq_close($D$2,B17)</f>
        <v>515.07460000000003</v>
      </c>
      <c r="E17" s="18" cm="1">
        <f t="array" aca="1" ref="E17" ca="1">[1]!s_dq_close($E$2,B17)</f>
        <v>6963.74</v>
      </c>
      <c r="F17" s="18" cm="1">
        <f t="array" aca="1" ref="F17" ca="1">[1]!s_dq_close($F$2,B17)</f>
        <v>185.88079999999999</v>
      </c>
      <c r="G17" s="18" cm="1">
        <f t="array" aca="1" ref="G17" ca="1">[1]!s_dq_close($G$2,B17)</f>
        <v>227.6319</v>
      </c>
      <c r="H17" s="18" cm="1">
        <f t="array" aca="1" ref="H17" ca="1">[1]!s_dq_close($H$2,B17)</f>
        <v>4.1753</v>
      </c>
      <c r="I17" s="18" cm="1">
        <f t="array" aca="1" ref="I17" ca="1">[1]!s_dq_close($I$2,B17)</f>
        <v>6.9764999999999997</v>
      </c>
      <c r="J17" s="18" cm="1">
        <f t="array" aca="1" ref="J17" ca="1">[1]!s_dq_close($J$2,B17)</f>
        <v>1027.18</v>
      </c>
      <c r="K17" s="18" cm="1">
        <f t="array" aca="1" ref="K17" ca="1">[1]!s_dq_close($K$2,B17)</f>
        <v>3158</v>
      </c>
      <c r="L17" s="18" cm="1">
        <f t="array" aca="1" ref="L17" ca="1">[1]!s_dq_close($L$2,B17)</f>
        <v>445.6</v>
      </c>
      <c r="M17" s="18" cm="1">
        <f t="array" aca="1" ref="M17" ca="1">[1]!s_dq_close($M$2,B17)</f>
        <v>2761</v>
      </c>
      <c r="N17" s="20">
        <f ca="1">-[1]!s_dq_close("USDCNY1YS.IB",B17)/10000/[1]!s_dq_close("USDCNH.FX",B17)</f>
        <v>1.7293793736377194E-2</v>
      </c>
    </row>
    <row r="18" spans="2:14">
      <c r="B18" s="19">
        <f t="shared" ca="1" si="1"/>
        <v>46036</v>
      </c>
      <c r="C18" s="18" cm="1">
        <f t="array" aca="1" ref="C18" ca="1">[1]!i_dq_close($C$2,B18)</f>
        <v>4126.0932000000003</v>
      </c>
      <c r="D18" s="18" cm="1">
        <f t="array" aca="1" ref="D18" ca="1">[1]!s_dq_close($D$2,B18)</f>
        <v>515.87220000000002</v>
      </c>
      <c r="E18" s="18" cm="1">
        <f t="array" aca="1" ref="E18" ca="1">[1]!s_dq_close($E$2,B18)</f>
        <v>6926.6</v>
      </c>
      <c r="F18" s="18" cm="1">
        <f t="array" aca="1" ref="F18" ca="1">[1]!s_dq_close($F$2,B18)</f>
        <v>185.97450000000001</v>
      </c>
      <c r="G18" s="18" cm="1">
        <f t="array" aca="1" ref="G18" ca="1">[1]!s_dq_close($G$2,B18)</f>
        <v>227.63740000000001</v>
      </c>
      <c r="H18" s="18" cm="1">
        <f t="array" aca="1" ref="H18" ca="1">[1]!s_dq_close($H$2,B18)</f>
        <v>4.1261000000000001</v>
      </c>
      <c r="I18" s="18" cm="1">
        <f t="array" aca="1" ref="I18" ca="1">[1]!s_dq_close($I$2,B18)</f>
        <v>6.9733999999999998</v>
      </c>
      <c r="J18" s="18" cm="1">
        <f t="array" aca="1" ref="J18" ca="1">[1]!s_dq_close($J$2,B18)</f>
        <v>1040.6199999999999</v>
      </c>
      <c r="K18" s="18" cm="1">
        <f t="array" aca="1" ref="K18" ca="1">[1]!s_dq_close($K$2,B18)</f>
        <v>3162</v>
      </c>
      <c r="L18" s="18" cm="1">
        <f t="array" aca="1" ref="L18" ca="1">[1]!s_dq_close($L$2,B18)</f>
        <v>445.5</v>
      </c>
      <c r="M18" s="18" cm="1">
        <f t="array" aca="1" ref="M18" ca="1">[1]!s_dq_close($M$2,B18)</f>
        <v>2751</v>
      </c>
      <c r="N18" s="20">
        <f ca="1">-[1]!s_dq_close("USDCNY1YS.IB",B18)/10000/[1]!s_dq_close("USDCNH.FX",B18)</f>
        <v>1.7404464080789533E-2</v>
      </c>
    </row>
    <row r="19" spans="2:14">
      <c r="B19" s="19">
        <f t="shared" ca="1" si="1"/>
        <v>46037</v>
      </c>
      <c r="C19" s="18" cm="1">
        <f t="array" aca="1" ref="C19" ca="1">[1]!i_dq_close($C$2,B19)</f>
        <v>4112.6012000000001</v>
      </c>
      <c r="D19" s="18" cm="1">
        <f t="array" aca="1" ref="D19" ca="1">[1]!s_dq_close($D$2,B19)</f>
        <v>516.90200000000004</v>
      </c>
      <c r="E19" s="18" cm="1">
        <f t="array" aca="1" ref="E19" ca="1">[1]!s_dq_close($E$2,B19)</f>
        <v>6944.47</v>
      </c>
      <c r="F19" s="18" cm="1">
        <f t="array" aca="1" ref="F19" ca="1">[1]!s_dq_close($F$2,B19)</f>
        <v>185.9836</v>
      </c>
      <c r="G19" s="18" cm="1">
        <f t="array" aca="1" ref="G19" ca="1">[1]!s_dq_close($G$2,B19)</f>
        <v>227.65889999999999</v>
      </c>
      <c r="H19" s="18" cm="1">
        <f t="array" aca="1" ref="H19" ca="1">[1]!s_dq_close($H$2,B19)</f>
        <v>4.1694000000000004</v>
      </c>
      <c r="I19" s="18" cm="1">
        <f t="array" aca="1" ref="I19" ca="1">[1]!s_dq_close($I$2,B19)</f>
        <v>6.9698000000000002</v>
      </c>
      <c r="J19" s="18" cm="1">
        <f t="array" aca="1" ref="J19" ca="1">[1]!s_dq_close($J$2,B19)</f>
        <v>1035.2</v>
      </c>
      <c r="K19" s="18" cm="1">
        <f t="array" aca="1" ref="K19" ca="1">[1]!s_dq_close($K$2,B19)</f>
        <v>3160</v>
      </c>
      <c r="L19" s="18" cm="1">
        <f t="array" aca="1" ref="L19" ca="1">[1]!s_dq_close($L$2,B19)</f>
        <v>444.9</v>
      </c>
      <c r="M19" s="18" cm="1">
        <f t="array" aca="1" ref="M19" ca="1">[1]!s_dq_close($M$2,B19)</f>
        <v>2740</v>
      </c>
      <c r="N19" s="20">
        <f ca="1">-[1]!s_dq_close("USDCNY1YS.IB",B19)/10000/[1]!s_dq_close("USDCNH.FX",B19)</f>
        <v>1.7147534862345794E-2</v>
      </c>
    </row>
    <row r="20" spans="2:14">
      <c r="B20" s="19">
        <f t="shared" ca="1" si="1"/>
        <v>46038</v>
      </c>
      <c r="C20" s="18" cm="1">
        <f t="array" aca="1" ref="C20" ca="1">[1]!i_dq_close($C$2,B20)</f>
        <v>4101.9126999999999</v>
      </c>
      <c r="D20" s="18" cm="1">
        <f t="array" aca="1" ref="D20" ca="1">[1]!s_dq_close($D$2,B20)</f>
        <v>519.31439999999998</v>
      </c>
      <c r="E20" s="18" cm="1">
        <f t="array" aca="1" ref="E20" ca="1">[1]!s_dq_close($E$2,B20)</f>
        <v>6940.01</v>
      </c>
      <c r="F20" s="18" cm="1">
        <f t="array" aca="1" ref="F20" ca="1">[1]!s_dq_close($F$2,B20)</f>
        <v>185.9787</v>
      </c>
      <c r="G20" s="18" cm="1">
        <f t="array" aca="1" ref="G20" ca="1">[1]!s_dq_close($G$2,B20)</f>
        <v>227.7081</v>
      </c>
      <c r="H20" s="18" cm="1">
        <f t="array" aca="1" ref="H20" ca="1">[1]!s_dq_close($H$2,B20)</f>
        <v>4.2209000000000003</v>
      </c>
      <c r="I20" s="18" cm="1">
        <f t="array" aca="1" ref="I20" ca="1">[1]!s_dq_close($I$2,B20)</f>
        <v>6.9690000000000003</v>
      </c>
      <c r="J20" s="18" cm="1">
        <f t="array" aca="1" ref="J20" ca="1">[1]!s_dq_close($J$2,B20)</f>
        <v>1032.32</v>
      </c>
      <c r="K20" s="18" cm="1">
        <f t="array" aca="1" ref="K20" ca="1">[1]!s_dq_close($K$2,B20)</f>
        <v>3163</v>
      </c>
      <c r="L20" s="18" cm="1">
        <f t="array" aca="1" ref="L20" ca="1">[1]!s_dq_close($L$2,B20)</f>
        <v>438.8</v>
      </c>
      <c r="M20" s="18" cm="1">
        <f t="array" aca="1" ref="M20" ca="1">[1]!s_dq_close($M$2,B20)</f>
        <v>2727</v>
      </c>
      <c r="N20" s="20">
        <f ca="1">-[1]!s_dq_close("USDCNY1YS.IB",B20)/10000/[1]!s_dq_close("USDCNH.FX",B20)</f>
        <v>1.7323535321640784E-2</v>
      </c>
    </row>
    <row r="21" spans="2:14">
      <c r="B21" s="19">
        <f t="shared" ca="1" si="1"/>
        <v>46041</v>
      </c>
      <c r="C21" s="18" cm="1">
        <f t="array" aca="1" ref="C21" ca="1">[1]!i_dq_close($C$2,B21)</f>
        <v>4114.0001000000002</v>
      </c>
      <c r="D21" s="18" cm="1">
        <f t="array" aca="1" ref="D21" ca="1">[1]!s_dq_close($D$2,B21)</f>
        <v>521.65139999999997</v>
      </c>
      <c r="E21" s="18" cm="1">
        <f t="array" aca="1" ref="E21" ca="1">[1]!s_dq_close($E$2,B21)</f>
        <v>6940.01</v>
      </c>
      <c r="F21" s="18" cm="1">
        <f t="array" aca="1" ref="F21" ca="1">[1]!s_dq_close($F$2,B21)</f>
        <v>186.00659999999999</v>
      </c>
      <c r="G21" s="18" cm="1">
        <f t="array" aca="1" ref="G21" ca="1">[1]!s_dq_close($G$2,B21)</f>
        <v>227.76329999999999</v>
      </c>
      <c r="H21" s="18" cm="1">
        <f t="array" aca="1" ref="H21" ca="1">[1]!s_dq_close($H$2,B21)</f>
        <v>0</v>
      </c>
      <c r="I21" s="18" cm="1">
        <f t="array" aca="1" ref="I21" ca="1">[1]!s_dq_close($I$2,B21)</f>
        <v>6.9635999999999996</v>
      </c>
      <c r="J21" s="18" cm="1">
        <f t="array" aca="1" ref="J21" ca="1">[1]!s_dq_close($J$2,B21)</f>
        <v>1048.8800000000001</v>
      </c>
      <c r="K21" s="18" cm="1">
        <f t="array" aca="1" ref="K21" ca="1">[1]!s_dq_close($K$2,B21)</f>
        <v>3140</v>
      </c>
      <c r="L21" s="18" cm="1">
        <f t="array" aca="1" ref="L21" ca="1">[1]!s_dq_close($L$2,B21)</f>
        <v>437.4</v>
      </c>
      <c r="M21" s="18" cm="1">
        <f t="array" aca="1" ref="M21" ca="1">[1]!s_dq_close($M$2,B21)</f>
        <v>2727</v>
      </c>
      <c r="N21" s="20">
        <f ca="1">-[1]!s_dq_close("USDCNY1YS.IB",B21)/10000/[1]!s_dq_close("USDCNH.FX",B21)</f>
        <v>1.7464926402943882E-2</v>
      </c>
    </row>
    <row r="22" spans="2:14">
      <c r="B22" s="19">
        <f t="shared" ca="1" si="1"/>
        <v>46042</v>
      </c>
      <c r="C22" s="18" cm="1">
        <f t="array" aca="1" ref="C22" ca="1">[1]!i_dq_close($C$2,B22)</f>
        <v>4113.6490000000003</v>
      </c>
      <c r="D22" s="18" cm="1">
        <f t="array" aca="1" ref="D22" ca="1">[1]!s_dq_close($D$2,B22)</f>
        <v>518.29229999999995</v>
      </c>
      <c r="E22" s="18" cm="1">
        <f t="array" aca="1" ref="E22" ca="1">[1]!s_dq_close($E$2,B22)</f>
        <v>6796.86</v>
      </c>
      <c r="F22" s="18" cm="1">
        <f t="array" aca="1" ref="F22" ca="1">[1]!s_dq_close($F$2,B22)</f>
        <v>186.31209999999999</v>
      </c>
      <c r="G22" s="18" cm="1">
        <f t="array" aca="1" ref="G22" ca="1">[1]!s_dq_close($G$2,B22)</f>
        <v>227.79300000000001</v>
      </c>
      <c r="H22" s="18" cm="1">
        <f t="array" aca="1" ref="H22" ca="1">[1]!s_dq_close($H$2,B22)</f>
        <v>4.2925000000000004</v>
      </c>
      <c r="I22" s="18" cm="1">
        <f t="array" aca="1" ref="I22" ca="1">[1]!s_dq_close($I$2,B22)</f>
        <v>6.9603000000000002</v>
      </c>
      <c r="J22" s="18" cm="1">
        <f t="array" aca="1" ref="J22" ca="1">[1]!s_dq_close($J$2,B22)</f>
        <v>1060.1600000000001</v>
      </c>
      <c r="K22" s="18" cm="1">
        <f t="array" aca="1" ref="K22" ca="1">[1]!s_dq_close($K$2,B22)</f>
        <v>3111</v>
      </c>
      <c r="L22" s="18" cm="1">
        <f t="array" aca="1" ref="L22" ca="1">[1]!s_dq_close($L$2,B22)</f>
        <v>437</v>
      </c>
      <c r="M22" s="18" cm="1">
        <f t="array" aca="1" ref="M22" ca="1">[1]!s_dq_close($M$2,B22)</f>
        <v>2736</v>
      </c>
      <c r="N22" s="20">
        <f ca="1">-[1]!s_dq_close("USDCNY1YS.IB",B22)/10000/[1]!s_dq_close("USDCNH.FX",B22)</f>
        <v>1.7452773225222117E-2</v>
      </c>
    </row>
    <row r="23" spans="2:14">
      <c r="B23" s="19">
        <f t="shared" ca="1" si="1"/>
        <v>46043</v>
      </c>
      <c r="C23" s="18" cm="1">
        <f t="array" aca="1" ref="C23" ca="1">[1]!i_dq_close($C$2,B23)</f>
        <v>4116.9399999999996</v>
      </c>
      <c r="D23" s="18" cm="1">
        <f t="array" aca="1" ref="D23" ca="1">[1]!s_dq_close($D$2,B23)</f>
        <v>522.94870000000003</v>
      </c>
      <c r="E23" s="18" cm="1">
        <f t="array" aca="1" ref="E23" ca="1">[1]!s_dq_close($E$2,B23)</f>
        <v>6875.62</v>
      </c>
      <c r="F23" s="18" cm="1">
        <f t="array" aca="1" ref="F23" ca="1">[1]!s_dq_close($F$2,B23)</f>
        <v>186.47110000000001</v>
      </c>
      <c r="G23" s="18" cm="1">
        <f t="array" aca="1" ref="G23" ca="1">[1]!s_dq_close($G$2,B23)</f>
        <v>227.8381</v>
      </c>
      <c r="H23" s="18" cm="1">
        <f t="array" aca="1" ref="H23" ca="1">[1]!s_dq_close($H$2,B23)</f>
        <v>4.2389000000000001</v>
      </c>
      <c r="I23" s="18" cm="1">
        <f t="array" aca="1" ref="I23" ca="1">[1]!s_dq_close($I$2,B23)</f>
        <v>6.9649999999999999</v>
      </c>
      <c r="J23" s="18" cm="1">
        <f t="array" aca="1" ref="J23" ca="1">[1]!s_dq_close($J$2,B23)</f>
        <v>1092.3</v>
      </c>
      <c r="K23" s="18" cm="1">
        <f t="array" aca="1" ref="K23" ca="1">[1]!s_dq_close($K$2,B23)</f>
        <v>3117</v>
      </c>
      <c r="L23" s="18" cm="1">
        <f t="array" aca="1" ref="L23" ca="1">[1]!s_dq_close($L$2,B23)</f>
        <v>440.8</v>
      </c>
      <c r="M23" s="18" cm="1">
        <f t="array" aca="1" ref="M23" ca="1">[1]!s_dq_close($M$2,B23)</f>
        <v>2725</v>
      </c>
      <c r="N23" s="20">
        <f ca="1">-[1]!s_dq_close("USDCNY1YS.IB",B23)/10000/[1]!s_dq_close("USDCNH.FX",B23)</f>
        <v>1.7600321834456402E-2</v>
      </c>
    </row>
    <row r="24" spans="2:14">
      <c r="B24" s="19">
        <f t="shared" ca="1" si="1"/>
        <v>46044</v>
      </c>
      <c r="C24" s="18" cm="1">
        <f t="array" aca="1" ref="C24" ca="1">[1]!i_dq_close($C$2,B24)</f>
        <v>4122.576</v>
      </c>
      <c r="D24" s="18" cm="1">
        <f t="array" aca="1" ref="D24" ca="1">[1]!s_dq_close($D$2,B24)</f>
        <v>527.73329999999999</v>
      </c>
      <c r="E24" s="18" cm="1">
        <f t="array" aca="1" ref="E24" ca="1">[1]!s_dq_close($E$2,B24)</f>
        <v>6913.35</v>
      </c>
      <c r="F24" s="18" cm="1">
        <f t="array" aca="1" ref="F24" ca="1">[1]!s_dq_close($F$2,B24)</f>
        <v>186.3597</v>
      </c>
      <c r="G24" s="18" cm="1">
        <f t="array" aca="1" ref="G24" ca="1">[1]!s_dq_close($G$2,B24)</f>
        <v>227.8801</v>
      </c>
      <c r="H24" s="18" cm="1">
        <f t="array" aca="1" ref="H24" ca="1">[1]!s_dq_close($H$2,B24)</f>
        <v>4.2408999999999999</v>
      </c>
      <c r="I24" s="18" cm="1">
        <f t="array" aca="1" ref="I24" ca="1">[1]!s_dq_close($I$2,B24)</f>
        <v>6.9627999999999997</v>
      </c>
      <c r="J24" s="18" cm="1">
        <f t="array" aca="1" ref="J24" ca="1">[1]!s_dq_close($J$2,B24)</f>
        <v>1087.58</v>
      </c>
      <c r="K24" s="18" cm="1">
        <f t="array" aca="1" ref="K24" ca="1">[1]!s_dq_close($K$2,B24)</f>
        <v>3124</v>
      </c>
      <c r="L24" s="18" cm="1">
        <f t="array" aca="1" ref="L24" ca="1">[1]!s_dq_close($L$2,B24)</f>
        <v>446.4</v>
      </c>
      <c r="M24" s="18" cm="1">
        <f t="array" aca="1" ref="M24" ca="1">[1]!s_dq_close($M$2,B24)</f>
        <v>2768</v>
      </c>
      <c r="N24" s="20">
        <f ca="1">-[1]!s_dq_close("USDCNY1YS.IB",B24)/10000/[1]!s_dq_close("USDCNH.FX",B24)</f>
        <v>1.7475588742102241E-2</v>
      </c>
    </row>
    <row r="25" spans="2:14">
      <c r="B25" s="19">
        <f ca="1">WORKDAY(A2,-1)</f>
        <v>46045</v>
      </c>
      <c r="C25" s="18" cm="1">
        <f t="array" aca="1" ref="C25" ca="1">[1]!i_dq_close($C$2,B25)</f>
        <v>4136.1642000000002</v>
      </c>
      <c r="D25" s="18" cm="1">
        <f t="array" aca="1" ref="D25" ca="1">[1]!s_dq_close($D$2,B25)</f>
        <v>534.4828</v>
      </c>
      <c r="E25" s="18" cm="1">
        <f t="array" aca="1" ref="E25" ca="1">[1]!s_dq_close($E$2,B25)</f>
        <v>6915.61</v>
      </c>
      <c r="F25" s="18" cm="1">
        <f t="array" aca="1" ref="F25" ca="1">[1]!s_dq_close($F$2,B25)</f>
        <v>186.55439999999999</v>
      </c>
      <c r="G25" s="18" cm="1">
        <f t="array" aca="1" ref="G25" ca="1">[1]!s_dq_close($G$2,B25)</f>
        <v>227.9117</v>
      </c>
      <c r="H25" s="18" cm="1">
        <f t="array" aca="1" ref="H25" ca="1">[1]!s_dq_close($H$2,B25)</f>
        <v>4.2211999999999996</v>
      </c>
      <c r="I25" s="18" cm="1">
        <f t="array" aca="1" ref="I25" ca="1">[1]!s_dq_close($I$2,B25)</f>
        <v>6.9641999999999999</v>
      </c>
      <c r="J25" s="18" cm="1">
        <f t="array" aca="1" ref="J25" ca="1">[1]!s_dq_close($J$2,B25)</f>
        <v>1115.6400000000001</v>
      </c>
      <c r="K25" s="18" cm="1">
        <f t="array" aca="1" ref="K25" ca="1">[1]!s_dq_close($K$2,B25)</f>
        <v>3142</v>
      </c>
      <c r="L25" s="18" cm="1">
        <f t="array" aca="1" ref="L25" ca="1">[1]!s_dq_close($L$2,B25)</f>
        <v>441.9</v>
      </c>
      <c r="M25" s="18" cm="1">
        <f t="array" aca="1" ref="M25" ca="1">[1]!s_dq_close($M$2,B25)</f>
        <v>2751</v>
      </c>
      <c r="N25" s="20">
        <f ca="1">-[1]!s_dq_close("USDCNY1YS.IB",B25)/10000/[1]!s_dq_close("USDCNH.FX",B25)</f>
        <v>1.7787499820110238E-2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1C28-3CD7-475B-AE39-824072D912B3}">
  <sheetPr codeName="Sheet2">
    <tabColor theme="5"/>
  </sheetPr>
  <dimension ref="A1:O37"/>
  <sheetViews>
    <sheetView tabSelected="1" workbookViewId="0">
      <selection activeCell="O18" sqref="O18:O22"/>
    </sheetView>
  </sheetViews>
  <sheetFormatPr baseColWidth="10" defaultColWidth="8.83203125" defaultRowHeight="15"/>
  <cols>
    <col min="2" max="2" width="20.33203125" customWidth="1"/>
    <col min="3" max="3" width="21" customWidth="1"/>
    <col min="4" max="4" width="11.5" customWidth="1"/>
    <col min="5" max="5" width="14" customWidth="1"/>
    <col min="6" max="6" width="15.83203125" customWidth="1"/>
    <col min="7" max="7" width="16.1640625" customWidth="1"/>
    <col min="8" max="8" width="13.6640625" customWidth="1"/>
    <col min="9" max="9" width="13.1640625" customWidth="1"/>
    <col min="10" max="10" width="11.1640625" customWidth="1"/>
  </cols>
  <sheetData>
    <row r="1" spans="1:10">
      <c r="A1" s="14" t="s">
        <v>118</v>
      </c>
      <c r="B1" s="14" t="s">
        <v>101</v>
      </c>
      <c r="C1" s="14" t="s">
        <v>188</v>
      </c>
      <c r="D1" s="13" t="s">
        <v>138</v>
      </c>
      <c r="E1" s="13" t="s">
        <v>102</v>
      </c>
      <c r="F1" s="13" t="s">
        <v>103</v>
      </c>
      <c r="G1" s="13" t="s">
        <v>104</v>
      </c>
      <c r="H1" s="13" t="s">
        <v>174</v>
      </c>
      <c r="I1" s="14" t="s">
        <v>139</v>
      </c>
      <c r="J1" s="13" t="s">
        <v>173</v>
      </c>
    </row>
    <row r="2" spans="1:10">
      <c r="A2" s="14" t="s">
        <v>0</v>
      </c>
      <c r="B2" s="14" t="s">
        <v>105</v>
      </c>
      <c r="C2" s="14" t="s">
        <v>106</v>
      </c>
      <c r="D2" s="14">
        <f>股票指标!B3</f>
        <v>17.091199874877901</v>
      </c>
      <c r="E2" s="14">
        <f t="shared" ref="E2:E3" ca="1" si="0">MAX(INDIRECT(J2))</f>
        <v>17.135900497436499</v>
      </c>
      <c r="F2" s="14">
        <f t="shared" ref="F2:F3" ca="1" si="1">MIN(INDIRECT(J2))</f>
        <v>11.748200416564901</v>
      </c>
      <c r="G2" s="14">
        <f t="shared" ref="G2:G3" ca="1" si="2">MEDIAN(INDIRECT(J2))</f>
        <v>13.5578002929688</v>
      </c>
      <c r="H2" s="16">
        <f ca="1">_xlfn.PERCENTRANK.INC(INDIRECT(J2), D2)</f>
        <v>0.99299999999999999</v>
      </c>
      <c r="I2" s="14" t="s">
        <v>140</v>
      </c>
      <c r="J2" s="14" t="str">
        <f t="shared" ref="J2:J3" si="3">I2&amp;":"&amp;RIGHT(I2,1)</f>
        <v>股票指标!B:B</v>
      </c>
    </row>
    <row r="3" spans="1:10">
      <c r="A3" s="14" t="s">
        <v>0</v>
      </c>
      <c r="B3" s="14" t="s">
        <v>105</v>
      </c>
      <c r="C3" s="14" t="s">
        <v>107</v>
      </c>
      <c r="D3" s="14">
        <f>股票指标!C3</f>
        <v>1.5523999929428101</v>
      </c>
      <c r="E3" s="14">
        <f t="shared" ca="1" si="0"/>
        <v>1.55350005626678</v>
      </c>
      <c r="F3" s="14">
        <f t="shared" ca="1" si="1"/>
        <v>1.1190999746322601</v>
      </c>
      <c r="G3" s="14">
        <f t="shared" ca="1" si="2"/>
        <v>1.3142000436782799</v>
      </c>
      <c r="H3" s="16">
        <f t="shared" ref="H3:H37" ca="1" si="4">_xlfn.PERCENTRANK.INC(INDIRECT(J3), D3)</f>
        <v>0.99299999999999999</v>
      </c>
      <c r="I3" s="14" t="s">
        <v>172</v>
      </c>
      <c r="J3" s="14" t="str">
        <f t="shared" si="3"/>
        <v>股票指标!C:C</v>
      </c>
    </row>
    <row r="4" spans="1:10">
      <c r="A4" s="14" t="s">
        <v>0</v>
      </c>
      <c r="B4" s="14" t="s">
        <v>105</v>
      </c>
      <c r="C4" s="14" t="s">
        <v>108</v>
      </c>
      <c r="D4" s="14">
        <f>股票指标!D3</f>
        <v>4.0211642817405989E-2</v>
      </c>
      <c r="E4" s="14">
        <f ca="1">MAX(INDIRECT(J4))</f>
        <v>6.2816768731989756E-2</v>
      </c>
      <c r="F4" s="14">
        <f ca="1">MIN(INDIRECT(J4))</f>
        <v>3.9575014861845066E-2</v>
      </c>
      <c r="G4" s="14">
        <f ca="1">MEDIAN(INDIRECT(J4))</f>
        <v>5.0885020115709931E-2</v>
      </c>
      <c r="H4" s="16">
        <f ca="1">1-_xlfn.PERCENTRANK.INC(INDIRECT(J4), D4)</f>
        <v>0.99399999999999999</v>
      </c>
      <c r="I4" s="14" t="s">
        <v>171</v>
      </c>
      <c r="J4" s="14" t="str">
        <f>I4&amp;":"&amp;RIGHT(I4,1)</f>
        <v>股票指标!D:D</v>
      </c>
    </row>
    <row r="5" spans="1:10">
      <c r="A5" s="14" t="s">
        <v>0</v>
      </c>
      <c r="B5" s="14" t="s">
        <v>117</v>
      </c>
      <c r="C5" s="14" t="s">
        <v>97</v>
      </c>
      <c r="D5" s="14">
        <f>股票指标!E3</f>
        <v>0.30935084940082952</v>
      </c>
      <c r="E5" s="14">
        <f t="shared" ref="E5:E37" ca="1" si="5">MAX(INDIRECT(J5))</f>
        <v>0.64610999999999952</v>
      </c>
      <c r="F5" s="14">
        <f t="shared" ref="F5:F37" ca="1" si="6">MIN(INDIRECT(J5))</f>
        <v>0.22559961134665149</v>
      </c>
      <c r="G5" s="14">
        <f t="shared" ref="G5:G37" ca="1" si="7">MEDIAN(INDIRECT(J5))</f>
        <v>0.37811431018328079</v>
      </c>
      <c r="H5" s="16">
        <f t="shared" ca="1" si="4"/>
        <v>0.111</v>
      </c>
      <c r="I5" s="14" t="s">
        <v>141</v>
      </c>
      <c r="J5" s="14" t="str">
        <f t="shared" ref="J5:J37" si="8">I5&amp;":"&amp;RIGHT(I5,1)</f>
        <v>股票指标!E:E</v>
      </c>
    </row>
    <row r="6" spans="1:10">
      <c r="A6" s="14" t="s">
        <v>0</v>
      </c>
      <c r="B6" s="14" t="s">
        <v>117</v>
      </c>
      <c r="C6" s="14" t="s">
        <v>98</v>
      </c>
      <c r="D6" s="14">
        <f>股票指标!F3</f>
        <v>0.1776821985</v>
      </c>
      <c r="E6" s="14">
        <f t="shared" ca="1" si="5"/>
        <v>0.37259104209999999</v>
      </c>
      <c r="F6" s="14">
        <f t="shared" ca="1" si="6"/>
        <v>-1.8727755000000001E-3</v>
      </c>
      <c r="G6" s="14">
        <f t="shared" ca="1" si="7"/>
        <v>0.25043992799999998</v>
      </c>
      <c r="H6" s="16">
        <f t="shared" ca="1" si="4"/>
        <v>0.375</v>
      </c>
      <c r="I6" s="14" t="s">
        <v>142</v>
      </c>
      <c r="J6" s="14" t="str">
        <f t="shared" si="8"/>
        <v>股票指标!F:F</v>
      </c>
    </row>
    <row r="7" spans="1:10">
      <c r="A7" s="14" t="s">
        <v>0</v>
      </c>
      <c r="B7" s="14" t="s">
        <v>117</v>
      </c>
      <c r="C7" s="14" t="s">
        <v>99</v>
      </c>
      <c r="D7" s="14">
        <f>股票指标!G3</f>
        <v>0.35448331824914092</v>
      </c>
      <c r="E7" s="14">
        <f t="shared" ca="1" si="5"/>
        <v>0.51443061991789008</v>
      </c>
      <c r="F7" s="14">
        <f t="shared" ca="1" si="6"/>
        <v>6.6129441771572338E-8</v>
      </c>
      <c r="G7" s="14">
        <f t="shared" ca="1" si="7"/>
        <v>0.42502787995872271</v>
      </c>
      <c r="H7" s="16">
        <f t="shared" ca="1" si="4"/>
        <v>0.29599999999999999</v>
      </c>
      <c r="I7" s="14" t="s">
        <v>143</v>
      </c>
      <c r="J7" s="14" t="str">
        <f t="shared" si="8"/>
        <v>股票指标!G:G</v>
      </c>
    </row>
    <row r="8" spans="1:10">
      <c r="A8" s="14" t="s">
        <v>0</v>
      </c>
      <c r="B8" s="14" t="s">
        <v>113</v>
      </c>
      <c r="C8" s="14" t="s">
        <v>106</v>
      </c>
      <c r="D8" s="14">
        <f>股票指标!H3</f>
        <v>29.515699386596701</v>
      </c>
      <c r="E8" s="14">
        <f t="shared" ca="1" si="5"/>
        <v>29.799200057983398</v>
      </c>
      <c r="F8" s="14">
        <f t="shared" ca="1" si="6"/>
        <v>21.6396999359131</v>
      </c>
      <c r="G8" s="14">
        <f t="shared" ca="1" si="7"/>
        <v>26.257200241088899</v>
      </c>
      <c r="H8" s="16">
        <f t="shared" ca="1" si="4"/>
        <v>0.96699999999999997</v>
      </c>
      <c r="I8" s="14" t="s">
        <v>144</v>
      </c>
      <c r="J8" s="14" t="str">
        <f t="shared" si="8"/>
        <v>股票指标!H:H</v>
      </c>
    </row>
    <row r="9" spans="1:10">
      <c r="A9" s="14" t="s">
        <v>0</v>
      </c>
      <c r="B9" s="14" t="s">
        <v>113</v>
      </c>
      <c r="C9" s="14" t="s">
        <v>107</v>
      </c>
      <c r="D9" s="14">
        <f>股票指标!I3</f>
        <v>5.5701999664306596</v>
      </c>
      <c r="E9" s="14">
        <f t="shared" ca="1" si="5"/>
        <v>5.6240000724792498</v>
      </c>
      <c r="F9" s="14">
        <f t="shared" ca="1" si="6"/>
        <v>3.6907999515533398</v>
      </c>
      <c r="G9" s="14">
        <f t="shared" ca="1" si="7"/>
        <v>4.7662000656127903</v>
      </c>
      <c r="H9" s="16">
        <f t="shared" ca="1" si="4"/>
        <v>0.98</v>
      </c>
      <c r="I9" s="14" t="s">
        <v>145</v>
      </c>
      <c r="J9" s="14" t="str">
        <f t="shared" si="8"/>
        <v>股票指标!I:I</v>
      </c>
    </row>
    <row r="10" spans="1:10">
      <c r="A10" s="14" t="s">
        <v>0</v>
      </c>
      <c r="B10" s="14" t="s">
        <v>113</v>
      </c>
      <c r="C10" s="14" t="s">
        <v>108</v>
      </c>
      <c r="D10" s="14">
        <f>股票指标!J3</f>
        <v>-8.5197254077568133E-3</v>
      </c>
      <c r="E10" s="14">
        <f t="shared" ca="1" si="5"/>
        <v>1.0742261104367413E-2</v>
      </c>
      <c r="F10" s="14">
        <f t="shared" ca="1" si="6"/>
        <v>-1.2252079616107005E-2</v>
      </c>
      <c r="G10" s="14">
        <f t="shared" ca="1" si="7"/>
        <v>-5.0039445650205683E-3</v>
      </c>
      <c r="H10" s="16">
        <f t="shared" ca="1" si="4"/>
        <v>0.111</v>
      </c>
      <c r="I10" s="14" t="s">
        <v>146</v>
      </c>
      <c r="J10" s="14" t="str">
        <f t="shared" si="8"/>
        <v>股票指标!J:J</v>
      </c>
    </row>
    <row r="11" spans="1:10">
      <c r="A11" s="14" t="s">
        <v>122</v>
      </c>
      <c r="B11" s="14" t="s">
        <v>109</v>
      </c>
      <c r="C11" s="14" t="s">
        <v>119</v>
      </c>
      <c r="D11" s="14">
        <f>债券指标!B3</f>
        <v>1.9735</v>
      </c>
      <c r="E11" s="14">
        <f t="shared" ca="1" si="5"/>
        <v>3.0916000000000001</v>
      </c>
      <c r="F11" s="14">
        <f t="shared" ca="1" si="6"/>
        <v>1.6067</v>
      </c>
      <c r="G11" s="14">
        <f t="shared" ca="1" si="7"/>
        <v>2.2530000000000001</v>
      </c>
      <c r="H11" s="16">
        <f t="shared" ca="1" si="4"/>
        <v>0.28899999999999998</v>
      </c>
      <c r="I11" s="14" t="s">
        <v>147</v>
      </c>
      <c r="J11" s="14" t="str">
        <f t="shared" si="8"/>
        <v>债券指标!B:B</v>
      </c>
    </row>
    <row r="12" spans="1:10">
      <c r="A12" s="14" t="s">
        <v>122</v>
      </c>
      <c r="B12" s="14" t="s">
        <v>109</v>
      </c>
      <c r="C12" s="14" t="s">
        <v>120</v>
      </c>
      <c r="D12" s="14">
        <f>债券指标!C3</f>
        <v>14.369999999999994</v>
      </c>
      <c r="E12" s="14">
        <f t="shared" ca="1" si="5"/>
        <v>18.900000000000006</v>
      </c>
      <c r="F12" s="14">
        <f t="shared" ca="1" si="6"/>
        <v>-1.7400000000000082</v>
      </c>
      <c r="G12" s="14">
        <f t="shared" ca="1" si="7"/>
        <v>8.9300000000000157</v>
      </c>
      <c r="H12" s="16">
        <f t="shared" ca="1" si="4"/>
        <v>0.78900000000000003</v>
      </c>
      <c r="I12" s="14" t="s">
        <v>148</v>
      </c>
      <c r="J12" s="14" t="str">
        <f t="shared" si="8"/>
        <v>债券指标!C:C</v>
      </c>
    </row>
    <row r="13" spans="1:10">
      <c r="A13" s="14" t="s">
        <v>122</v>
      </c>
      <c r="B13" s="14" t="s">
        <v>109</v>
      </c>
      <c r="C13" s="14" t="s">
        <v>121</v>
      </c>
      <c r="D13" s="14">
        <f>债券指标!D3</f>
        <v>39.76</v>
      </c>
      <c r="E13" s="14">
        <f t="shared" ca="1" si="5"/>
        <v>75.570000000000007</v>
      </c>
      <c r="F13" s="14">
        <f t="shared" ca="1" si="6"/>
        <v>6.0800000000000187</v>
      </c>
      <c r="G13" s="14">
        <f t="shared" ca="1" si="7"/>
        <v>47.879999999999988</v>
      </c>
      <c r="H13" s="16">
        <f t="shared" ca="1" si="4"/>
        <v>0.375</v>
      </c>
      <c r="I13" s="14" t="s">
        <v>149</v>
      </c>
      <c r="J13" s="14" t="str">
        <f t="shared" si="8"/>
        <v>债券指标!D:D</v>
      </c>
    </row>
    <row r="14" spans="1:10">
      <c r="A14" s="14" t="s">
        <v>122</v>
      </c>
      <c r="B14" s="14" t="s">
        <v>100</v>
      </c>
      <c r="C14" s="14" t="s">
        <v>119</v>
      </c>
      <c r="D14" s="14">
        <f>债券指标!E3</f>
        <v>1.7741</v>
      </c>
      <c r="E14" s="14">
        <f t="shared" ca="1" si="5"/>
        <v>3.0806</v>
      </c>
      <c r="F14" s="14">
        <f t="shared" ca="1" si="6"/>
        <v>1.6315999999999999</v>
      </c>
      <c r="G14" s="14">
        <f t="shared" ca="1" si="7"/>
        <v>2.0962000000000001</v>
      </c>
      <c r="H14" s="16">
        <f t="shared" ca="1" si="4"/>
        <v>5.8999999999999997E-2</v>
      </c>
      <c r="I14" s="14" t="s">
        <v>150</v>
      </c>
      <c r="J14" s="14" t="str">
        <f t="shared" si="8"/>
        <v>债券指标!E:E</v>
      </c>
    </row>
    <row r="15" spans="1:10">
      <c r="A15" s="14" t="s">
        <v>122</v>
      </c>
      <c r="B15" s="14" t="s">
        <v>100</v>
      </c>
      <c r="C15" s="14" t="s">
        <v>120</v>
      </c>
      <c r="D15" s="14">
        <f>债券指标!F3</f>
        <v>37.820000000000007</v>
      </c>
      <c r="E15" s="14">
        <f t="shared" ca="1" si="5"/>
        <v>80.07999999999997</v>
      </c>
      <c r="F15" s="14">
        <f t="shared" ca="1" si="6"/>
        <v>31.569999999999986</v>
      </c>
      <c r="G15" s="14">
        <f t="shared" ca="1" si="7"/>
        <v>44.320000000000007</v>
      </c>
      <c r="H15" s="16">
        <f t="shared" ca="1" si="4"/>
        <v>0.20300000000000001</v>
      </c>
      <c r="I15" s="14" t="s">
        <v>151</v>
      </c>
      <c r="J15" s="14" t="str">
        <f t="shared" si="8"/>
        <v>债券指标!F:F</v>
      </c>
    </row>
    <row r="16" spans="1:10">
      <c r="A16" s="14" t="s">
        <v>122</v>
      </c>
      <c r="B16" s="14" t="s">
        <v>100</v>
      </c>
      <c r="C16" s="14" t="s">
        <v>121</v>
      </c>
      <c r="D16" s="14">
        <f>债券指标!G3</f>
        <v>10.20000000000001</v>
      </c>
      <c r="E16" s="14">
        <f t="shared" ca="1" si="5"/>
        <v>24.2</v>
      </c>
      <c r="F16" s="14">
        <f t="shared" ca="1" si="6"/>
        <v>-0.59999999999997833</v>
      </c>
      <c r="G16" s="14">
        <f t="shared" ca="1" si="7"/>
        <v>10.749999999999993</v>
      </c>
      <c r="H16" s="16">
        <f t="shared" ca="1" si="4"/>
        <v>0.434</v>
      </c>
      <c r="I16" s="14" t="s">
        <v>152</v>
      </c>
      <c r="J16" s="14" t="str">
        <f t="shared" si="8"/>
        <v>债券指标!G:G</v>
      </c>
    </row>
    <row r="17" spans="1:15">
      <c r="A17" s="14" t="s">
        <v>122</v>
      </c>
      <c r="B17" s="14" t="s">
        <v>116</v>
      </c>
      <c r="C17" s="14" t="s">
        <v>119</v>
      </c>
      <c r="D17" s="14">
        <f>债券指标!H3</f>
        <v>4.24</v>
      </c>
      <c r="E17" s="14">
        <f t="shared" ca="1" si="5"/>
        <v>4.93</v>
      </c>
      <c r="F17" s="14">
        <f t="shared" ca="1" si="6"/>
        <v>3.38</v>
      </c>
      <c r="G17" s="14">
        <f t="shared" ca="1" si="7"/>
        <v>4.22</v>
      </c>
      <c r="H17" s="16">
        <f t="shared" ca="1" si="4"/>
        <v>0.52600000000000002</v>
      </c>
      <c r="I17" s="14" t="s">
        <v>153</v>
      </c>
      <c r="J17" s="14" t="str">
        <f t="shared" si="8"/>
        <v>债券指标!H:H</v>
      </c>
    </row>
    <row r="18" spans="1:15">
      <c r="A18" s="14" t="s">
        <v>122</v>
      </c>
      <c r="B18" s="14" t="s">
        <v>116</v>
      </c>
      <c r="C18" s="14" t="s">
        <v>123</v>
      </c>
      <c r="D18" s="15">
        <f>债券指标!I3</f>
        <v>71.000000000000043</v>
      </c>
      <c r="E18" s="14">
        <f t="shared" ca="1" si="5"/>
        <v>72.000000000000014</v>
      </c>
      <c r="F18" s="14">
        <f t="shared" ca="1" si="6"/>
        <v>-159.00000000000003</v>
      </c>
      <c r="G18" s="14">
        <f t="shared" ca="1" si="7"/>
        <v>-54</v>
      </c>
      <c r="H18" s="16">
        <f t="shared" ca="1" si="4"/>
        <v>0.99299999999999999</v>
      </c>
      <c r="I18" s="14" t="s">
        <v>154</v>
      </c>
      <c r="J18" s="14" t="str">
        <f t="shared" si="8"/>
        <v>债券指标!I:I</v>
      </c>
    </row>
    <row r="19" spans="1:15">
      <c r="A19" s="14" t="s">
        <v>122</v>
      </c>
      <c r="B19" s="14" t="s">
        <v>116</v>
      </c>
      <c r="C19" s="14" t="s">
        <v>124</v>
      </c>
      <c r="D19" s="14">
        <f>债券指标!J3</f>
        <v>16.09</v>
      </c>
      <c r="E19" s="14">
        <f t="shared" ca="1" si="5"/>
        <v>45.31</v>
      </c>
      <c r="F19" s="14">
        <f t="shared" ca="1" si="6"/>
        <v>11.93</v>
      </c>
      <c r="G19" s="14">
        <f t="shared" ca="1" si="7"/>
        <v>15.97</v>
      </c>
      <c r="H19" s="16">
        <f t="shared" ca="1" si="4"/>
        <v>0.51300000000000001</v>
      </c>
      <c r="I19" s="14" t="s">
        <v>155</v>
      </c>
      <c r="J19" s="14" t="str">
        <f t="shared" si="8"/>
        <v>债券指标!J:J</v>
      </c>
      <c r="O19" t="s">
        <v>189</v>
      </c>
    </row>
    <row r="20" spans="1:15">
      <c r="A20" s="14" t="s">
        <v>125</v>
      </c>
      <c r="B20" s="14" t="s">
        <v>179</v>
      </c>
      <c r="C20" s="14" t="s">
        <v>179</v>
      </c>
      <c r="D20" s="24">
        <f>汇率指标!E3</f>
        <v>1.7787499820110238E-2</v>
      </c>
      <c r="E20" s="24">
        <f t="shared" ref="E20:E22" ca="1" si="9">MAX(INDIRECT(J20))</f>
        <v>4.0440572086141713E-2</v>
      </c>
      <c r="F20" s="24">
        <f t="shared" ref="F20:F22" ca="1" si="10">MIN(INDIRECT(J20))</f>
        <v>1.5719139944604665E-2</v>
      </c>
      <c r="G20" s="24">
        <f t="shared" ref="G20:G22" ca="1" si="11">MEDIAN(INDIRECT(J20))</f>
        <v>3.0890045168110492E-2</v>
      </c>
      <c r="H20" s="24">
        <f t="shared" ref="H20:H22" ca="1" si="12">_xlfn.PERCENTRANK.INC(INDIRECT(J20), D20)</f>
        <v>4.5999999999999999E-2</v>
      </c>
      <c r="I20" s="14" t="s">
        <v>182</v>
      </c>
      <c r="J20" s="14" t="str">
        <f>I20&amp;":"&amp;RIGHT(I20,1)</f>
        <v>汇率指标!E:E</v>
      </c>
      <c r="O20" t="s">
        <v>190</v>
      </c>
    </row>
    <row r="21" spans="1:15">
      <c r="A21" s="14" t="s">
        <v>125</v>
      </c>
      <c r="B21" s="14" t="s">
        <v>179</v>
      </c>
      <c r="C21" s="14" t="s">
        <v>180</v>
      </c>
      <c r="D21" s="14">
        <f>汇率指标!F3</f>
        <v>-1236</v>
      </c>
      <c r="E21" s="14">
        <f t="shared" ca="1" si="9"/>
        <v>-1101</v>
      </c>
      <c r="F21" s="14">
        <f ca="1">MIN(INDIRECT(J21))</f>
        <v>-2952</v>
      </c>
      <c r="G21" s="14">
        <f t="shared" ca="1" si="11"/>
        <v>-2242</v>
      </c>
      <c r="H21" s="16">
        <f t="shared" ca="1" si="12"/>
        <v>0.96699999999999997</v>
      </c>
      <c r="I21" s="14" t="s">
        <v>183</v>
      </c>
      <c r="J21" s="14" t="str">
        <f t="shared" ref="J21:J22" si="13">I21&amp;":"&amp;RIGHT(I21,1)</f>
        <v>汇率指标!F:F</v>
      </c>
      <c r="O21" t="s">
        <v>191</v>
      </c>
    </row>
    <row r="22" spans="1:15">
      <c r="A22" s="14" t="s">
        <v>125</v>
      </c>
      <c r="B22" s="14" t="s">
        <v>179</v>
      </c>
      <c r="C22" s="14" t="s">
        <v>181</v>
      </c>
      <c r="D22" s="14">
        <f>汇率指标!G3</f>
        <v>6.9486999999999997</v>
      </c>
      <c r="E22" s="14">
        <f t="shared" ca="1" si="9"/>
        <v>7.3650000000000002</v>
      </c>
      <c r="F22" s="14">
        <f t="shared" ca="1" si="10"/>
        <v>6.8707000000000003</v>
      </c>
      <c r="G22" s="14">
        <f t="shared" ca="1" si="11"/>
        <v>7.1896000000000004</v>
      </c>
      <c r="H22" s="16">
        <f t="shared" ca="1" si="12"/>
        <v>6.5000000000000002E-2</v>
      </c>
      <c r="I22" s="14" t="s">
        <v>184</v>
      </c>
      <c r="J22" s="14" t="str">
        <f t="shared" si="13"/>
        <v>汇率指标!G:G</v>
      </c>
      <c r="O22" t="s">
        <v>192</v>
      </c>
    </row>
    <row r="23" spans="1:15">
      <c r="A23" s="14" t="s">
        <v>125</v>
      </c>
      <c r="B23" s="14" t="s">
        <v>115</v>
      </c>
      <c r="C23" s="14" t="s">
        <v>126</v>
      </c>
      <c r="D23" s="14">
        <f>汇率指标!B3</f>
        <v>6.9641999999999999</v>
      </c>
      <c r="E23" s="14">
        <f t="shared" ca="1" si="5"/>
        <v>7.3414999999999999</v>
      </c>
      <c r="F23" s="14">
        <f t="shared" ca="1" si="6"/>
        <v>6.8494999999999999</v>
      </c>
      <c r="G23" s="14">
        <f t="shared" ca="1" si="7"/>
        <v>7.1837</v>
      </c>
      <c r="H23" s="16">
        <f t="shared" ca="1" si="4"/>
        <v>7.1999999999999995E-2</v>
      </c>
      <c r="I23" s="14" t="s">
        <v>156</v>
      </c>
      <c r="J23" s="14" t="str">
        <f t="shared" si="8"/>
        <v>汇率指标!B:B</v>
      </c>
    </row>
    <row r="24" spans="1:15">
      <c r="A24" s="14" t="s">
        <v>125</v>
      </c>
      <c r="B24" s="14" t="s">
        <v>115</v>
      </c>
      <c r="C24" s="14" t="s">
        <v>127</v>
      </c>
      <c r="D24" s="14">
        <f>汇率指标!C3</f>
        <v>-241.02</v>
      </c>
      <c r="E24" s="14">
        <f t="shared" ca="1" si="5"/>
        <v>-51.239999999999995</v>
      </c>
      <c r="F24" s="14">
        <f t="shared" ca="1" si="6"/>
        <v>-313.61999999999995</v>
      </c>
      <c r="G24" s="14">
        <f t="shared" ca="1" si="7"/>
        <v>-211.74000000000004</v>
      </c>
      <c r="H24" s="16">
        <f t="shared" ca="1" si="4"/>
        <v>0.23</v>
      </c>
      <c r="I24" s="14" t="s">
        <v>157</v>
      </c>
      <c r="J24" s="14" t="str">
        <f t="shared" si="8"/>
        <v>汇率指标!C:C</v>
      </c>
    </row>
    <row r="25" spans="1:15" s="29" customFormat="1">
      <c r="A25" s="27" t="s">
        <v>125</v>
      </c>
      <c r="B25" s="27" t="s">
        <v>115</v>
      </c>
      <c r="C25" s="27" t="s">
        <v>128</v>
      </c>
      <c r="D25" s="27">
        <f>汇率指标!D3</f>
        <v>97.505300000000005</v>
      </c>
      <c r="E25" s="27">
        <f t="shared" ca="1" si="5"/>
        <v>109.6567</v>
      </c>
      <c r="F25" s="27">
        <f t="shared" ca="1" si="6"/>
        <v>96.988</v>
      </c>
      <c r="G25" s="27">
        <f t="shared" ca="1" si="7"/>
        <v>103.1952</v>
      </c>
      <c r="H25" s="28">
        <f t="shared" ca="1" si="4"/>
        <v>1.2999999999999999E-2</v>
      </c>
      <c r="I25" s="27" t="s">
        <v>158</v>
      </c>
      <c r="J25" s="27" t="str">
        <f t="shared" si="8"/>
        <v>汇率指标!D:D</v>
      </c>
    </row>
    <row r="26" spans="1:15" s="29" customFormat="1">
      <c r="A26" s="27" t="s">
        <v>129</v>
      </c>
      <c r="B26" s="27" t="s">
        <v>114</v>
      </c>
      <c r="C26" s="27" t="s">
        <v>130</v>
      </c>
      <c r="D26" s="27">
        <f>商品指标!B3</f>
        <v>-9.6332567074341569E-2</v>
      </c>
      <c r="E26" s="27">
        <f t="shared" ca="1" si="5"/>
        <v>25.996715803687721</v>
      </c>
      <c r="F26" s="27">
        <f t="shared" ca="1" si="6"/>
        <v>-22.634177504139416</v>
      </c>
      <c r="G26" s="27">
        <f t="shared" ca="1" si="7"/>
        <v>1.8523661324288128</v>
      </c>
      <c r="H26" s="28">
        <f t="shared" ca="1" si="4"/>
        <v>0.39400000000000002</v>
      </c>
      <c r="I26" s="27" t="s">
        <v>159</v>
      </c>
      <c r="J26" s="27" t="str">
        <f t="shared" si="8"/>
        <v>商品指标!B:B</v>
      </c>
    </row>
    <row r="27" spans="1:15">
      <c r="A27" s="14" t="s">
        <v>129</v>
      </c>
      <c r="B27" s="14" t="s">
        <v>114</v>
      </c>
      <c r="C27" s="14" t="s">
        <v>131</v>
      </c>
      <c r="D27" s="14">
        <f>商品指标!C3</f>
        <v>1.92</v>
      </c>
      <c r="E27" s="14">
        <f t="shared" ca="1" si="5"/>
        <v>2.4700000000000002</v>
      </c>
      <c r="F27" s="14">
        <f t="shared" ca="1" si="6"/>
        <v>1.1399999999999999</v>
      </c>
      <c r="G27" s="14">
        <f t="shared" ca="1" si="7"/>
        <v>1.92</v>
      </c>
      <c r="H27" s="16">
        <f t="shared" ca="1" si="4"/>
        <v>0.48599999999999999</v>
      </c>
      <c r="I27" s="14" t="s">
        <v>160</v>
      </c>
      <c r="J27" s="14" t="str">
        <f t="shared" si="8"/>
        <v>商品指标!C:C</v>
      </c>
    </row>
    <row r="28" spans="1:15">
      <c r="A28" s="14" t="s">
        <v>129</v>
      </c>
      <c r="B28" s="14" t="s">
        <v>114</v>
      </c>
      <c r="C28" s="14" t="s">
        <v>132</v>
      </c>
      <c r="D28" s="14">
        <f>商品指标!D3</f>
        <v>6.9641999999999999</v>
      </c>
      <c r="E28" s="14">
        <f t="shared" ca="1" si="5"/>
        <v>7.3414999999999999</v>
      </c>
      <c r="F28" s="14">
        <f t="shared" ca="1" si="6"/>
        <v>6.8494999999999999</v>
      </c>
      <c r="G28" s="14">
        <f t="shared" ca="1" si="7"/>
        <v>7.1837</v>
      </c>
      <c r="H28" s="16">
        <f t="shared" ca="1" si="4"/>
        <v>7.1999999999999995E-2</v>
      </c>
      <c r="I28" s="14" t="s">
        <v>161</v>
      </c>
      <c r="J28" s="14" t="str">
        <f t="shared" si="8"/>
        <v>商品指标!D:D</v>
      </c>
    </row>
    <row r="29" spans="1:15">
      <c r="A29" s="14" t="s">
        <v>129</v>
      </c>
      <c r="B29" s="14" t="s">
        <v>110</v>
      </c>
      <c r="C29" s="14" t="s">
        <v>133</v>
      </c>
      <c r="D29" s="14">
        <f>商品指标!E3</f>
        <v>163</v>
      </c>
      <c r="E29" s="14">
        <f t="shared" ca="1" si="5"/>
        <v>266</v>
      </c>
      <c r="F29" s="14">
        <f t="shared" ca="1" si="6"/>
        <v>45</v>
      </c>
      <c r="G29" s="14">
        <f t="shared" ca="1" si="7"/>
        <v>131</v>
      </c>
      <c r="H29" s="16">
        <f t="shared" ca="1" si="4"/>
        <v>0.67700000000000005</v>
      </c>
      <c r="I29" s="14" t="s">
        <v>162</v>
      </c>
      <c r="J29" s="14" t="str">
        <f t="shared" si="8"/>
        <v>商品指标!E:E</v>
      </c>
    </row>
    <row r="30" spans="1:15">
      <c r="A30" s="14" t="s">
        <v>129</v>
      </c>
      <c r="B30" s="14" t="s">
        <v>110</v>
      </c>
      <c r="C30" s="14" t="s">
        <v>134</v>
      </c>
      <c r="D30" s="14">
        <f>商品指标!F3</f>
        <v>795</v>
      </c>
      <c r="E30" s="14">
        <f t="shared" ca="1" si="5"/>
        <v>1000</v>
      </c>
      <c r="F30" s="14">
        <f t="shared" ca="1" si="6"/>
        <v>680</v>
      </c>
      <c r="G30" s="14">
        <f t="shared" ca="1" si="7"/>
        <v>797</v>
      </c>
      <c r="H30" s="16">
        <f t="shared" ca="1" si="4"/>
        <v>0.48</v>
      </c>
      <c r="I30" s="14" t="s">
        <v>163</v>
      </c>
      <c r="J30" s="14" t="str">
        <f t="shared" si="8"/>
        <v>商品指标!F:F</v>
      </c>
    </row>
    <row r="31" spans="1:15">
      <c r="A31" s="14" t="s">
        <v>129</v>
      </c>
      <c r="B31" s="14" t="s">
        <v>110</v>
      </c>
      <c r="C31" s="14" t="s">
        <v>132</v>
      </c>
      <c r="D31" s="14">
        <f>商品指标!G3</f>
        <v>6.9641999999999999</v>
      </c>
      <c r="E31" s="14">
        <f t="shared" ca="1" si="5"/>
        <v>7.3414999999999999</v>
      </c>
      <c r="F31" s="14">
        <f t="shared" ca="1" si="6"/>
        <v>6.8494999999999999</v>
      </c>
      <c r="G31" s="14">
        <f t="shared" ca="1" si="7"/>
        <v>7.1837</v>
      </c>
      <c r="H31" s="16">
        <f t="shared" ca="1" si="4"/>
        <v>7.1999999999999995E-2</v>
      </c>
      <c r="I31" s="14" t="s">
        <v>164</v>
      </c>
      <c r="J31" s="14" t="str">
        <f t="shared" si="8"/>
        <v>商品指标!G:G</v>
      </c>
    </row>
    <row r="32" spans="1:15" s="29" customFormat="1">
      <c r="A32" s="27" t="s">
        <v>129</v>
      </c>
      <c r="B32" s="27" t="s">
        <v>111</v>
      </c>
      <c r="C32" s="27" t="s">
        <v>135</v>
      </c>
      <c r="D32" s="27">
        <f>商品指标!H3</f>
        <v>-4.1599999999999966</v>
      </c>
      <c r="E32" s="27">
        <f t="shared" ca="1" si="5"/>
        <v>-1.2700000000000102</v>
      </c>
      <c r="F32" s="27">
        <f t="shared" ca="1" si="6"/>
        <v>-6.3999999999999915</v>
      </c>
      <c r="G32" s="27">
        <f t="shared" ca="1" si="7"/>
        <v>-3.740000000000002</v>
      </c>
      <c r="H32" s="28">
        <f t="shared" ca="1" si="4"/>
        <v>0.33500000000000002</v>
      </c>
      <c r="I32" s="27" t="s">
        <v>165</v>
      </c>
      <c r="J32" s="27" t="str">
        <f t="shared" si="8"/>
        <v>商品指标!H:H</v>
      </c>
    </row>
    <row r="33" spans="1:10" s="29" customFormat="1">
      <c r="A33" s="27" t="s">
        <v>129</v>
      </c>
      <c r="B33" s="27" t="s">
        <v>111</v>
      </c>
      <c r="C33" s="27" t="s">
        <v>128</v>
      </c>
      <c r="D33" s="27">
        <f>商品指标!I3</f>
        <v>97.505300000000005</v>
      </c>
      <c r="E33" s="27">
        <f t="shared" ca="1" si="5"/>
        <v>109.6567</v>
      </c>
      <c r="F33" s="27">
        <f t="shared" ca="1" si="6"/>
        <v>96.988</v>
      </c>
      <c r="G33" s="27">
        <f t="shared" ca="1" si="7"/>
        <v>103.1952</v>
      </c>
      <c r="H33" s="28">
        <f t="shared" ca="1" si="4"/>
        <v>1.2999999999999999E-2</v>
      </c>
      <c r="I33" s="27" t="s">
        <v>166</v>
      </c>
      <c r="J33" s="27" t="str">
        <f t="shared" si="8"/>
        <v>商品指标!I:I</v>
      </c>
    </row>
    <row r="34" spans="1:10">
      <c r="A34" s="14" t="s">
        <v>129</v>
      </c>
      <c r="B34" s="14" t="s">
        <v>111</v>
      </c>
      <c r="C34" s="14" t="s">
        <v>132</v>
      </c>
      <c r="D34" s="14">
        <f>商品指标!J3</f>
        <v>6.9641999999999999</v>
      </c>
      <c r="E34" s="14">
        <f t="shared" ca="1" si="5"/>
        <v>7.3414999999999999</v>
      </c>
      <c r="F34" s="14">
        <f t="shared" ca="1" si="6"/>
        <v>6.8494999999999999</v>
      </c>
      <c r="G34" s="14">
        <f t="shared" ca="1" si="7"/>
        <v>7.1837</v>
      </c>
      <c r="H34" s="16">
        <f t="shared" ca="1" si="4"/>
        <v>7.1999999999999995E-2</v>
      </c>
      <c r="I34" s="14" t="s">
        <v>167</v>
      </c>
      <c r="J34" s="14" t="str">
        <f t="shared" si="8"/>
        <v>商品指标!J:J</v>
      </c>
    </row>
    <row r="35" spans="1:10" s="29" customFormat="1">
      <c r="A35" s="27" t="s">
        <v>129</v>
      </c>
      <c r="B35" s="27" t="s">
        <v>112</v>
      </c>
      <c r="C35" s="27" t="s">
        <v>136</v>
      </c>
      <c r="D35" s="27">
        <f>商品指标!K3</f>
        <v>-443.28999999999996</v>
      </c>
      <c r="E35" s="27">
        <f t="shared" ca="1" si="5"/>
        <v>86.570000000000164</v>
      </c>
      <c r="F35" s="27">
        <f t="shared" ca="1" si="6"/>
        <v>-893.85999999999967</v>
      </c>
      <c r="G35" s="27">
        <f t="shared" ca="1" si="7"/>
        <v>-230.28999999999996</v>
      </c>
      <c r="H35" s="28">
        <f t="shared" ca="1" si="4"/>
        <v>0.25600000000000001</v>
      </c>
      <c r="I35" s="27" t="s">
        <v>168</v>
      </c>
      <c r="J35" s="27" t="str">
        <f t="shared" si="8"/>
        <v>商品指标!K:K</v>
      </c>
    </row>
    <row r="36" spans="1:10" s="29" customFormat="1">
      <c r="A36" s="27" t="s">
        <v>129</v>
      </c>
      <c r="B36" s="27" t="s">
        <v>112</v>
      </c>
      <c r="C36" s="27" t="s">
        <v>137</v>
      </c>
      <c r="D36" s="27">
        <f>商品指标!L3</f>
        <v>2161911</v>
      </c>
      <c r="E36" s="27">
        <f t="shared" ca="1" si="5"/>
        <v>2666258</v>
      </c>
      <c r="F36" s="27">
        <f t="shared" ca="1" si="6"/>
        <v>628233</v>
      </c>
      <c r="G36" s="27">
        <f t="shared" ca="1" si="7"/>
        <v>1649188</v>
      </c>
      <c r="H36" s="28">
        <f t="shared" ca="1" si="4"/>
        <v>0.80900000000000005</v>
      </c>
      <c r="I36" s="27" t="s">
        <v>169</v>
      </c>
      <c r="J36" s="27" t="str">
        <f t="shared" si="8"/>
        <v>商品指标!L:L</v>
      </c>
    </row>
    <row r="37" spans="1:10" s="29" customFormat="1">
      <c r="A37" s="27" t="s">
        <v>129</v>
      </c>
      <c r="B37" s="27" t="s">
        <v>112</v>
      </c>
      <c r="C37" s="27" t="s">
        <v>132</v>
      </c>
      <c r="D37" s="27">
        <f>商品指标!M3</f>
        <v>6.9641999999999999</v>
      </c>
      <c r="E37" s="27">
        <f t="shared" ca="1" si="5"/>
        <v>7.3414999999999999</v>
      </c>
      <c r="F37" s="27">
        <f t="shared" ca="1" si="6"/>
        <v>6.8494999999999999</v>
      </c>
      <c r="G37" s="27">
        <f t="shared" ca="1" si="7"/>
        <v>7.1837</v>
      </c>
      <c r="H37" s="28">
        <f t="shared" ca="1" si="4"/>
        <v>7.1999999999999995E-2</v>
      </c>
      <c r="I37" s="27" t="s">
        <v>170</v>
      </c>
      <c r="J37" s="27" t="str">
        <f t="shared" si="8"/>
        <v>商品指标!M:M</v>
      </c>
    </row>
  </sheetData>
  <sortState xmlns:xlrd2="http://schemas.microsoft.com/office/spreadsheetml/2017/richdata2" ref="A1:N34">
    <sortCondition ref="A1:A34"/>
    <sortCondition ref="B1:B34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FD3A-58A6-4049-9E37-D024DCDE1CF0}">
  <sheetPr codeName="Sheet3"/>
  <dimension ref="A1:AH163"/>
  <sheetViews>
    <sheetView topLeftCell="A3" workbookViewId="0">
      <pane xSplit="1" topLeftCell="M1" activePane="topRight" state="frozen"/>
      <selection pane="topRight" activeCell="S11" sqref="S11"/>
    </sheetView>
  </sheetViews>
  <sheetFormatPr baseColWidth="10" defaultColWidth="8.83203125" defaultRowHeight="15"/>
  <cols>
    <col min="1" max="1" width="12.33203125" bestFit="1" customWidth="1"/>
    <col min="2" max="2" width="45.6640625" bestFit="1" customWidth="1"/>
    <col min="3" max="3" width="48.1640625" bestFit="1" customWidth="1"/>
    <col min="4" max="4" width="56.83203125" bestFit="1" customWidth="1"/>
    <col min="5" max="5" width="41.6640625" bestFit="1" customWidth="1"/>
    <col min="6" max="6" width="46.83203125" bestFit="1" customWidth="1"/>
    <col min="7" max="7" width="56.83203125" bestFit="1" customWidth="1"/>
    <col min="8" max="8" width="40.6640625" bestFit="1" customWidth="1"/>
    <col min="9" max="12" width="40.6640625" customWidth="1"/>
    <col min="17" max="17" width="18.6640625" customWidth="1"/>
    <col min="18" max="18" width="19.5" customWidth="1"/>
    <col min="19" max="19" width="16" customWidth="1"/>
    <col min="21" max="21" width="11" bestFit="1" customWidth="1"/>
    <col min="22" max="23" width="10.5" bestFit="1" customWidth="1"/>
    <col min="24" max="24" width="12.33203125" bestFit="1" customWidth="1"/>
    <col min="27" max="27" width="11.6640625" bestFit="1" customWidth="1"/>
    <col min="33" max="33" width="21" customWidth="1"/>
    <col min="34" max="34" width="22.6640625" customWidth="1"/>
  </cols>
  <sheetData>
    <row r="1" spans="1:34">
      <c r="A1" s="3" t="str">
        <f>[1]!edb()</f>
        <v>Wind</v>
      </c>
    </row>
    <row r="2" spans="1:34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55</v>
      </c>
      <c r="G2" s="4" t="s">
        <v>56</v>
      </c>
      <c r="H2" s="4" t="s">
        <v>57</v>
      </c>
      <c r="I2" s="4" t="s">
        <v>65</v>
      </c>
      <c r="J2" s="4" t="s">
        <v>72</v>
      </c>
      <c r="K2" s="4" t="s">
        <v>87</v>
      </c>
      <c r="L2" s="4"/>
    </row>
    <row r="3" spans="1:34">
      <c r="A3" s="4" t="s">
        <v>38</v>
      </c>
      <c r="B3" s="4" t="s">
        <v>39</v>
      </c>
      <c r="C3" s="4" t="s">
        <v>39</v>
      </c>
      <c r="D3" s="4" t="s">
        <v>39</v>
      </c>
      <c r="E3" s="4" t="s">
        <v>39</v>
      </c>
      <c r="F3" s="4" t="s">
        <v>39</v>
      </c>
      <c r="G3" s="4" t="s">
        <v>39</v>
      </c>
      <c r="H3" s="4" t="s">
        <v>39</v>
      </c>
      <c r="I3" s="4" t="s">
        <v>39</v>
      </c>
      <c r="J3" s="4" t="s">
        <v>39</v>
      </c>
      <c r="K3" s="4" t="s">
        <v>39</v>
      </c>
      <c r="L3" s="4"/>
    </row>
    <row r="4" spans="1:34">
      <c r="A4" s="4" t="s">
        <v>40</v>
      </c>
      <c r="B4" s="4" t="s">
        <v>41</v>
      </c>
      <c r="C4" s="4" t="s">
        <v>41</v>
      </c>
      <c r="D4" s="4" t="s">
        <v>41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K4" s="4" t="s">
        <v>88</v>
      </c>
      <c r="L4" s="4"/>
    </row>
    <row r="5" spans="1:34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58</v>
      </c>
      <c r="G5" s="4" t="s">
        <v>59</v>
      </c>
      <c r="H5" s="4" t="s">
        <v>60</v>
      </c>
      <c r="I5" s="4" t="s">
        <v>66</v>
      </c>
      <c r="J5" s="4" t="s">
        <v>73</v>
      </c>
      <c r="K5" s="4" t="s">
        <v>89</v>
      </c>
      <c r="L5" s="4"/>
      <c r="M5" s="25" t="s">
        <v>50</v>
      </c>
      <c r="N5" s="25" t="s">
        <v>51</v>
      </c>
      <c r="O5" s="25" t="s">
        <v>52</v>
      </c>
      <c r="P5" s="25" t="s">
        <v>53</v>
      </c>
      <c r="Q5" s="25" t="s">
        <v>12</v>
      </c>
      <c r="R5" s="25" t="s">
        <v>13</v>
      </c>
      <c r="S5" s="25" t="s">
        <v>14</v>
      </c>
      <c r="T5" s="25" t="s">
        <v>67</v>
      </c>
      <c r="U5" s="25" t="s">
        <v>17</v>
      </c>
      <c r="V5" s="25" t="s">
        <v>68</v>
      </c>
      <c r="W5" s="25" t="s">
        <v>4</v>
      </c>
      <c r="X5" s="25" t="s">
        <v>75</v>
      </c>
      <c r="Y5" s="25" t="s">
        <v>80</v>
      </c>
      <c r="Z5" s="25" t="s">
        <v>81</v>
      </c>
      <c r="AA5" s="25" t="s">
        <v>83</v>
      </c>
      <c r="AB5" s="25" t="s">
        <v>84</v>
      </c>
      <c r="AC5" s="25" t="s">
        <v>86</v>
      </c>
      <c r="AD5" s="25" t="s">
        <v>91</v>
      </c>
      <c r="AE5" s="25" t="s">
        <v>92</v>
      </c>
      <c r="AF5" s="25" t="s">
        <v>95</v>
      </c>
      <c r="AG5" s="14" t="s">
        <v>175</v>
      </c>
      <c r="AH5" s="14" t="s">
        <v>177</v>
      </c>
    </row>
    <row r="6" spans="1:34">
      <c r="A6" s="4" t="s">
        <v>47</v>
      </c>
      <c r="B6" s="4" t="s">
        <v>48</v>
      </c>
      <c r="C6" s="4" t="s">
        <v>48</v>
      </c>
      <c r="D6" s="4" t="s">
        <v>48</v>
      </c>
      <c r="E6" s="4" t="s">
        <v>49</v>
      </c>
      <c r="F6" s="4" t="s">
        <v>48</v>
      </c>
      <c r="G6" s="4" t="s">
        <v>48</v>
      </c>
      <c r="H6" s="4" t="s">
        <v>49</v>
      </c>
      <c r="I6" s="4" t="s">
        <v>48</v>
      </c>
      <c r="J6" s="4" t="s">
        <v>49</v>
      </c>
      <c r="K6" s="4" t="s">
        <v>90</v>
      </c>
      <c r="L6" s="4"/>
      <c r="M6" s="25" t="s">
        <v>22</v>
      </c>
      <c r="N6" s="25" t="s">
        <v>24</v>
      </c>
      <c r="O6" s="25" t="s">
        <v>22</v>
      </c>
      <c r="P6" s="25" t="s">
        <v>24</v>
      </c>
      <c r="Q6" s="25" t="s">
        <v>23</v>
      </c>
      <c r="R6" s="25" t="s">
        <v>23</v>
      </c>
      <c r="S6" s="25" t="s">
        <v>23</v>
      </c>
      <c r="T6" s="25" t="s">
        <v>67</v>
      </c>
      <c r="U6" s="25" t="s">
        <v>26</v>
      </c>
      <c r="V6" s="25" t="s">
        <v>69</v>
      </c>
      <c r="W6" s="25" t="s">
        <v>27</v>
      </c>
      <c r="X6" s="25" t="s">
        <v>74</v>
      </c>
      <c r="Y6" s="14" t="s">
        <v>79</v>
      </c>
      <c r="Z6" s="25" t="s">
        <v>82</v>
      </c>
      <c r="AA6" s="25" t="s">
        <v>30</v>
      </c>
      <c r="AB6" s="25" t="s">
        <v>30</v>
      </c>
      <c r="AC6" s="25" t="s">
        <v>85</v>
      </c>
      <c r="AD6" s="25" t="s">
        <v>28</v>
      </c>
      <c r="AE6" s="25" t="s">
        <v>93</v>
      </c>
      <c r="AF6" s="25" t="s">
        <v>96</v>
      </c>
      <c r="AG6" s="14" t="s">
        <v>176</v>
      </c>
      <c r="AH6" s="14" t="s">
        <v>178</v>
      </c>
    </row>
    <row r="7" spans="1:34">
      <c r="A7" s="5">
        <v>46047</v>
      </c>
      <c r="B7" s="6">
        <v>1.8298000000000001</v>
      </c>
      <c r="C7" s="6">
        <v>1.9735</v>
      </c>
      <c r="D7" s="6">
        <v>1.7741</v>
      </c>
      <c r="E7" s="6">
        <v>4.24</v>
      </c>
      <c r="F7" s="6">
        <v>1.5759000000000001</v>
      </c>
      <c r="G7" s="6">
        <v>1.6720999999999999</v>
      </c>
      <c r="H7" s="6">
        <v>3.53</v>
      </c>
      <c r="I7" s="6">
        <v>1.3958999999999999</v>
      </c>
      <c r="J7" s="10">
        <v>1.92</v>
      </c>
      <c r="K7" s="10">
        <v>197.9</v>
      </c>
      <c r="L7" s="10"/>
      <c r="M7" s="1" cm="1">
        <f t="array" ref="M7">[1]!s_val_pe_ttm(M$6,$A7)</f>
        <v>17.091199874877901</v>
      </c>
      <c r="N7" s="1" cm="1">
        <f t="array" ref="N7">[1]!s_val_pe_ttm(N$6,$A7)</f>
        <v>29.515699386596701</v>
      </c>
      <c r="O7" s="1" cm="1">
        <f t="array" ref="O7">[1]!s_val_pb_lf(O$6,$A7)</f>
        <v>1.5523999929428101</v>
      </c>
      <c r="P7" s="1" cm="1">
        <f t="array" ref="P7">[1]!s_val_pb_lf(P$6,$A7)</f>
        <v>5.5701999664306596</v>
      </c>
      <c r="Q7" s="1">
        <f>[1]!cb_anal_convpremiumratio($Q$6,A7-2)</f>
        <v>44.831425135135099</v>
      </c>
      <c r="S7" s="1">
        <f>[1]!cb_anal_straightbondpremiumratio($S$6,A7-3)</f>
        <v>0</v>
      </c>
      <c r="T7" s="9" cm="1">
        <f t="array" ref="T7">[1]!s_dq_close(T$6,$A7,1)</f>
        <v>16.09</v>
      </c>
      <c r="U7" s="9" cm="1">
        <f t="array" ref="U7">[1]!s_dq_close(U$6,$A7,1)</f>
        <v>6.9641999999999999</v>
      </c>
      <c r="V7" s="9" cm="1">
        <f t="array" ref="V7">[1]!s_dq_close(V$6,$A7,1)</f>
        <v>97.505300000000005</v>
      </c>
      <c r="W7" s="11" cm="1">
        <f t="array" ref="W7">[1]!s_dq_close(W$6,$A7,1)</f>
        <v>1115.6400000000001</v>
      </c>
      <c r="X7" s="11" cm="1">
        <f t="array" ref="X7">[1]!s_dq_close(X$6,$A7,1)</f>
        <v>4983.1000000000004</v>
      </c>
      <c r="Y7" s="11" cm="1">
        <f t="array" ref="Y7">[1]!s_dq_close(Y$6,$A7,1)</f>
        <v>61.28</v>
      </c>
      <c r="Z7" s="11" cm="1">
        <f t="array" ref="Z7">[1]!s_dq_close(Z$6,$A7,1)</f>
        <v>65.44</v>
      </c>
      <c r="AA7" s="12" cm="1">
        <f t="array" ref="AA7">[1]!s_dq_oi(AA$6,$A7)</f>
        <v>2161911</v>
      </c>
      <c r="AB7" s="12" cm="1">
        <f t="array" ref="AB7">[1]!s_dq_close(AB$6,$A7,1)</f>
        <v>2751</v>
      </c>
      <c r="AC7" s="12" cm="1">
        <f t="array" ref="AC7">[1]!s_dq_close(AC$6,$A7,1)</f>
        <v>3194.29</v>
      </c>
      <c r="AD7" s="12" cm="1">
        <f t="array" ref="AD7">[1]!s_dq_close(AD$6,$A7,1)</f>
        <v>3142</v>
      </c>
      <c r="AE7" s="12" cm="1">
        <f t="array" ref="AE7">[1]!s_dq_close(AE$6,$A7,1)</f>
        <v>3305</v>
      </c>
      <c r="AF7" s="12" cm="1">
        <f t="array" ref="AF7">[1]!s_dq_close(AF$6,$A7,1)</f>
        <v>795</v>
      </c>
      <c r="AG7" s="12">
        <f>[1]!s_dq_close($AG$6,$A7)</f>
        <v>-1236</v>
      </c>
      <c r="AH7" s="11">
        <f>[1]!s_dq_close($AH$6,A7)</f>
        <v>6.9486999999999997</v>
      </c>
    </row>
    <row r="8" spans="1:34">
      <c r="A8" s="5">
        <v>46040</v>
      </c>
      <c r="B8" s="6">
        <v>1.8424</v>
      </c>
      <c r="C8" s="6">
        <v>2.0152000000000001</v>
      </c>
      <c r="D8" s="6">
        <v>1.7915000000000001</v>
      </c>
      <c r="E8" s="6">
        <v>4.24</v>
      </c>
      <c r="F8" s="6">
        <v>1.5942000000000001</v>
      </c>
      <c r="G8" s="6">
        <v>1.6986000000000001</v>
      </c>
      <c r="H8" s="6">
        <v>3.55</v>
      </c>
      <c r="I8" s="6">
        <v>1.4043000000000001</v>
      </c>
      <c r="J8" s="10">
        <v>1.91</v>
      </c>
      <c r="K8" s="10">
        <v>0</v>
      </c>
      <c r="L8" s="10"/>
      <c r="M8" s="1" cm="1">
        <f t="array" ref="M8">[1]!s_val_pe_ttm(M$6,$A8)</f>
        <v>17.0165004730225</v>
      </c>
      <c r="N8" s="1" cm="1">
        <f t="array" ref="N8">[1]!s_val_pe_ttm(N$6,$A8)</f>
        <v>29.608299255371101</v>
      </c>
      <c r="O8" s="1" cm="1">
        <f t="array" ref="O8">[1]!s_val_pb_lf(O$6,$A8)</f>
        <v>1.54449999332428</v>
      </c>
      <c r="P8" s="1" cm="1">
        <f t="array" ref="P8">[1]!s_val_pb_lf(P$6,$A8)</f>
        <v>5.5998997688293501</v>
      </c>
      <c r="Q8" s="1">
        <f>[1]!cb_anal_convpremiumratio($Q$6,A8-2)</f>
        <v>46.397920107238598</v>
      </c>
      <c r="S8" s="1">
        <f>[1]!cb_anal_straightbondpremiumratio($S$6,A8-3)</f>
        <v>0</v>
      </c>
      <c r="T8" s="9" cm="1">
        <f t="array" ref="T8">[1]!s_dq_close(T$6,$A8,1)</f>
        <v>15.86</v>
      </c>
      <c r="U8" s="9" cm="1">
        <f t="array" ref="U8">[1]!s_dq_close(U$6,$A8,1)</f>
        <v>6.9690000000000003</v>
      </c>
      <c r="V8" s="9" cm="1">
        <f t="array" ref="V8">[1]!s_dq_close(V$6,$A8,1)</f>
        <v>99.369100000000003</v>
      </c>
      <c r="W8" s="11" cm="1">
        <f t="array" ref="W8">[1]!s_dq_close(W$6,$A8,1)</f>
        <v>1032.32</v>
      </c>
      <c r="X8" s="11" cm="1">
        <f t="array" ref="X8">[1]!s_dq_close(X$6,$A8,1)</f>
        <v>4601.1000000000004</v>
      </c>
      <c r="Y8" s="11" cm="1">
        <f t="array" ref="Y8">[1]!s_dq_close(Y$6,$A8,1)</f>
        <v>59.22</v>
      </c>
      <c r="Z8" s="11" cm="1">
        <f t="array" ref="Z8">[1]!s_dq_close(Z$6,$A8,1)</f>
        <v>64.2</v>
      </c>
      <c r="AA8" s="12" cm="1">
        <f t="array" ref="AA8">[1]!s_dq_oi(AA$6,$A8)</f>
        <v>2238668</v>
      </c>
      <c r="AB8" s="12" cm="1">
        <f t="array" ref="AB8">[1]!s_dq_close(AB$6,$A8,1)</f>
        <v>2727</v>
      </c>
      <c r="AC8" s="12" cm="1">
        <f t="array" ref="AC8">[1]!s_dq_close(AC$6,$A8,1)</f>
        <v>3196.29</v>
      </c>
      <c r="AD8" s="12" cm="1">
        <f t="array" ref="AD8">[1]!s_dq_close(AD$6,$A8,1)</f>
        <v>3163</v>
      </c>
      <c r="AE8" s="12" cm="1">
        <f t="array" ref="AE8">[1]!s_dq_close(AE$6,$A8,1)</f>
        <v>3315</v>
      </c>
      <c r="AF8" s="12" cm="1">
        <f t="array" ref="AF8">[1]!s_dq_close(AF$6,$A8,1)</f>
        <v>812</v>
      </c>
      <c r="AG8" s="12">
        <f>[1]!s_dq_close($AG$6,$A8)</f>
        <v>-1207</v>
      </c>
      <c r="AH8" s="11">
        <f>[1]!s_dq_close($AH$6,A8)</f>
        <v>6.9673999999999996</v>
      </c>
    </row>
    <row r="9" spans="1:34">
      <c r="A9" s="5">
        <v>46033</v>
      </c>
      <c r="B9" s="6">
        <v>1.8782000000000001</v>
      </c>
      <c r="C9" s="6">
        <v>2.0287000000000002</v>
      </c>
      <c r="D9" s="6">
        <v>1.8057000000000001</v>
      </c>
      <c r="E9" s="6">
        <v>4.18</v>
      </c>
      <c r="F9" s="6">
        <v>1.5779000000000001</v>
      </c>
      <c r="G9" s="6">
        <v>1.6938</v>
      </c>
      <c r="H9" s="6">
        <v>3.52</v>
      </c>
      <c r="I9" s="6">
        <v>1.4361999999999999</v>
      </c>
      <c r="J9" s="10">
        <v>1.9</v>
      </c>
      <c r="K9" s="10">
        <v>199.7</v>
      </c>
      <c r="L9" s="10"/>
      <c r="M9" s="1" cm="1">
        <f t="array" ref="M9">[1]!s_val_pe_ttm(M$6,$A9)</f>
        <v>17.135900497436499</v>
      </c>
      <c r="N9" s="1" cm="1">
        <f t="array" ref="N9">[1]!s_val_pe_ttm(N$6,$A9)</f>
        <v>29.747400283813501</v>
      </c>
      <c r="O9" s="1" cm="1">
        <f t="array" ref="O9">[1]!s_val_pb_lf(O$6,$A9)</f>
        <v>1.55350005626678</v>
      </c>
      <c r="P9" s="1" cm="1">
        <f t="array" ref="P9">[1]!s_val_pb_lf(P$6,$A9)</f>
        <v>5.6240000724792498</v>
      </c>
      <c r="Q9" s="1">
        <f>[1]!cb_anal_convpremiumratio($Q$6,A9-2)</f>
        <v>46.748833862433798</v>
      </c>
      <c r="S9" s="1">
        <f>[1]!cb_anal_straightbondpremiumratio($S$6,A9-3)</f>
        <v>0</v>
      </c>
      <c r="T9" s="9" cm="1">
        <f t="array" ref="T9">[1]!s_dq_close(T$6,$A9,1)</f>
        <v>14.49</v>
      </c>
      <c r="U9" s="9" cm="1">
        <f t="array" ref="U9">[1]!s_dq_close(U$6,$A9,1)</f>
        <v>6.9821</v>
      </c>
      <c r="V9" s="9" cm="1">
        <f t="array" ref="V9">[1]!s_dq_close(V$6,$A9,1)</f>
        <v>99.136799999999994</v>
      </c>
      <c r="W9" s="11" cm="1">
        <f t="array" ref="W9">[1]!s_dq_close(W$6,$A9,1)</f>
        <v>1006.48</v>
      </c>
      <c r="X9" s="11" cm="1">
        <f t="array" ref="X9">[1]!s_dq_close(X$6,$A9,1)</f>
        <v>4518.3999999999996</v>
      </c>
      <c r="Y9" s="11" cm="1">
        <f t="array" ref="Y9">[1]!s_dq_close(Y$6,$A9,1)</f>
        <v>58.78</v>
      </c>
      <c r="Z9" s="11" cm="1">
        <f t="array" ref="Z9">[1]!s_dq_close(Z$6,$A9,1)</f>
        <v>63.02</v>
      </c>
      <c r="AA9" s="12" cm="1">
        <f t="array" ref="AA9">[1]!s_dq_oi(AA$6,$A9)</f>
        <v>2260449</v>
      </c>
      <c r="AB9" s="12" cm="1">
        <f t="array" ref="AB9">[1]!s_dq_close(AB$6,$A9,1)</f>
        <v>2786</v>
      </c>
      <c r="AC9" s="12" cm="1">
        <f t="array" ref="AC9">[1]!s_dq_close(AC$6,$A9,1)</f>
        <v>3224.86</v>
      </c>
      <c r="AD9" s="12" cm="1">
        <f t="array" ref="AD9">[1]!s_dq_close(AD$6,$A9,1)</f>
        <v>3144</v>
      </c>
      <c r="AE9" s="12" cm="1">
        <f t="array" ref="AE9">[1]!s_dq_close(AE$6,$A9,1)</f>
        <v>3294</v>
      </c>
      <c r="AF9" s="12" cm="1">
        <f t="array" ref="AF9">[1]!s_dq_close(AF$6,$A9,1)</f>
        <v>814.5</v>
      </c>
      <c r="AG9" s="12">
        <f>[1]!s_dq_close($AG$6,$A9)</f>
        <v>-1193</v>
      </c>
      <c r="AH9" s="11">
        <f>[1]!s_dq_close($AH$6,A9)</f>
        <v>6.976</v>
      </c>
    </row>
    <row r="10" spans="1:34">
      <c r="A10" s="5">
        <v>46026</v>
      </c>
      <c r="B10" s="6">
        <v>1.8427</v>
      </c>
      <c r="C10" s="6">
        <v>1.9862</v>
      </c>
      <c r="D10" s="6">
        <v>1.7839</v>
      </c>
      <c r="E10" s="6">
        <v>4.1900000000000004</v>
      </c>
      <c r="F10" s="6">
        <v>1.5525</v>
      </c>
      <c r="G10" s="6">
        <v>1.6887000000000001</v>
      </c>
      <c r="H10" s="6">
        <v>3.47</v>
      </c>
      <c r="I10" s="6">
        <v>1.3522000000000001</v>
      </c>
      <c r="J10" s="10">
        <v>1.94</v>
      </c>
      <c r="K10" s="10">
        <v>164.3</v>
      </c>
      <c r="L10" s="10"/>
      <c r="M10" s="1" cm="1">
        <f t="array" ref="M10">[1]!s_val_pe_ttm(M$6,$A10)</f>
        <v>16.590400695800799</v>
      </c>
      <c r="N10" s="1" cm="1">
        <f t="array" ref="N10">[1]!s_val_pe_ttm(N$6,$A10)</f>
        <v>29.2409992218018</v>
      </c>
      <c r="O10" s="1" cm="1">
        <f t="array" ref="O10">[1]!s_val_pb_lf(O$6,$A10)</f>
        <v>1.50409996509552</v>
      </c>
      <c r="P10" s="1" cm="1">
        <f t="array" ref="P10">[1]!s_val_pb_lf(P$6,$A10)</f>
        <v>5.5286002159118697</v>
      </c>
      <c r="Q10" s="1">
        <f>[1]!cb_anal_convpremiumratio($Q$6,A10-2)</f>
        <v>0</v>
      </c>
      <c r="S10" s="1">
        <f>[1]!cb_anal_straightbondpremiumratio($S$6,A10-3)</f>
        <v>0</v>
      </c>
      <c r="T10" s="9" cm="1">
        <f t="array" ref="T10">[1]!s_dq_close(T$6,$A10,1)</f>
        <v>14.51</v>
      </c>
      <c r="U10" s="9" cm="1">
        <f t="array" ref="U10">[1]!s_dq_close(U$6,$A10,1)</f>
        <v>6.9889999999999999</v>
      </c>
      <c r="V10" s="9" cm="1">
        <f t="array" ref="V10">[1]!s_dq_close(V$6,$A10,1)</f>
        <v>98.459400000000002</v>
      </c>
      <c r="W10" s="11" cm="1">
        <f t="array" ref="W10">[1]!s_dq_close(W$6,$A10,1)</f>
        <v>977.56</v>
      </c>
      <c r="X10" s="11" cm="1">
        <f t="array" ref="X10">[1]!s_dq_close(X$6,$A10,1)</f>
        <v>4341.8999999999996</v>
      </c>
      <c r="Y10" s="11" cm="1">
        <f t="array" ref="Y10">[1]!s_dq_close(Y$6,$A10,1)</f>
        <v>57.33</v>
      </c>
      <c r="Z10" s="11" cm="1">
        <f t="array" ref="Z10">[1]!s_dq_close(Z$6,$A10,1)</f>
        <v>60.8</v>
      </c>
      <c r="AA10" s="12" cm="1">
        <f t="array" ref="AA10">[1]!s_dq_oi(AA$6,$A10)</f>
        <v>2149817</v>
      </c>
      <c r="AB10" s="12" cm="1">
        <f t="array" ref="AB10">[1]!s_dq_close(AB$6,$A10,1)</f>
        <v>2749</v>
      </c>
      <c r="AC10" s="12" cm="1">
        <f t="array" ref="AC10">[1]!s_dq_close(AC$6,$A10,1)</f>
        <v>3169.43</v>
      </c>
      <c r="AD10" s="12" cm="1">
        <f t="array" ref="AD10">[1]!s_dq_close(AD$6,$A10,1)</f>
        <v>3122</v>
      </c>
      <c r="AE10" s="12" cm="1">
        <f t="array" ref="AE10">[1]!s_dq_close(AE$6,$A10,1)</f>
        <v>3270</v>
      </c>
      <c r="AF10" s="12" cm="1">
        <f t="array" ref="AF10">[1]!s_dq_close(AF$6,$A10,1)</f>
        <v>789.5</v>
      </c>
      <c r="AG10" s="12">
        <f>[1]!s_dq_close($AG$6,$A10)</f>
        <v>-1126</v>
      </c>
      <c r="AH10" s="11">
        <f>[1]!s_dq_close($AH$6,A10)</f>
        <v>6.9699</v>
      </c>
    </row>
    <row r="11" spans="1:34">
      <c r="A11" s="5">
        <v>46019</v>
      </c>
      <c r="B11" s="6">
        <v>1.8375999999999999</v>
      </c>
      <c r="C11" s="6">
        <v>1.9817</v>
      </c>
      <c r="D11" s="6">
        <v>1.8085</v>
      </c>
      <c r="E11" s="6">
        <v>4.1399999999999997</v>
      </c>
      <c r="F11" s="6">
        <v>1.5275000000000001</v>
      </c>
      <c r="G11" s="6">
        <v>1.7189000000000001</v>
      </c>
      <c r="H11" s="6">
        <v>3.49</v>
      </c>
      <c r="I11" s="6">
        <v>1.3378000000000001</v>
      </c>
      <c r="J11" s="10">
        <v>1.91</v>
      </c>
      <c r="K11" s="10">
        <v>0</v>
      </c>
      <c r="L11" s="10"/>
      <c r="M11" s="1" cm="1">
        <f t="array" ref="M11">[1]!s_val_pe_ttm(M$6,$A11)</f>
        <v>16.537300109863299</v>
      </c>
      <c r="N11" s="1" cm="1">
        <f t="array" ref="N11">[1]!s_val_pe_ttm(N$6,$A11)</f>
        <v>29.526699066162099</v>
      </c>
      <c r="O11" s="1" cm="1">
        <f t="array" ref="O11">[1]!s_val_pb_lf(O$6,$A11)</f>
        <v>1.49960005283356</v>
      </c>
      <c r="P11" s="1" cm="1">
        <f t="array" ref="P11">[1]!s_val_pb_lf(P$6,$A11)</f>
        <v>5.5826997756957999</v>
      </c>
      <c r="Q11" s="1">
        <f>[1]!cb_anal_convpremiumratio($Q$6,A11-2)</f>
        <v>45.958840583554398</v>
      </c>
      <c r="S11" s="1">
        <f>[1]!cb_anal_straightbondpremiumratio($S$6,A11-3)</f>
        <v>0</v>
      </c>
      <c r="T11" s="9" cm="1">
        <f t="array" ref="T11">[1]!s_dq_close(T$6,$A11,1)</f>
        <v>13.6</v>
      </c>
      <c r="U11" s="9" cm="1">
        <f t="array" ref="U11">[1]!s_dq_close(U$6,$A11,1)</f>
        <v>7.0084999999999997</v>
      </c>
      <c r="V11" s="9" cm="1">
        <f t="array" ref="V11">[1]!s_dq_close(V$6,$A11,1)</f>
        <v>98.034099999999995</v>
      </c>
      <c r="W11" s="11" cm="1">
        <f t="array" ref="W11">[1]!s_dq_close(W$6,$A11,1)</f>
        <v>1016.3</v>
      </c>
      <c r="X11" s="11" cm="1">
        <f t="array" ref="X11">[1]!s_dq_close(X$6,$A11,1)</f>
        <v>4562</v>
      </c>
      <c r="Y11" s="11" cm="1">
        <f t="array" ref="Y11">[1]!s_dq_close(Y$6,$A11,1)</f>
        <v>56.93</v>
      </c>
      <c r="Z11" s="11" cm="1">
        <f t="array" ref="Z11">[1]!s_dq_close(Z$6,$A11,1)</f>
        <v>60.33</v>
      </c>
      <c r="AA11" s="12" cm="1">
        <f t="array" ref="AA11">[1]!s_dq_oi(AA$6,$A11)</f>
        <v>2086665</v>
      </c>
      <c r="AB11" s="12" cm="1">
        <f t="array" ref="AB11">[1]!s_dq_close(AB$6,$A11,1)</f>
        <v>2790</v>
      </c>
      <c r="AC11" s="12" cm="1">
        <f t="array" ref="AC11">[1]!s_dq_close(AC$6,$A11,1)</f>
        <v>3174.86</v>
      </c>
      <c r="AD11" s="12" cm="1">
        <f t="array" ref="AD11">[1]!s_dq_close(AD$6,$A11,1)</f>
        <v>3118</v>
      </c>
      <c r="AE11" s="12" cm="1">
        <f t="array" ref="AE11">[1]!s_dq_close(AE$6,$A11,1)</f>
        <v>3283</v>
      </c>
      <c r="AF11" s="12" cm="1">
        <f t="array" ref="AF11">[1]!s_dq_close(AF$6,$A11,1)</f>
        <v>783</v>
      </c>
      <c r="AG11" s="12">
        <f>[1]!s_dq_close($AG$6,$A11)</f>
        <v>-1101</v>
      </c>
      <c r="AH11" s="11">
        <f>[1]!s_dq_close($AH$6,A11)</f>
        <v>7.0042</v>
      </c>
    </row>
    <row r="12" spans="1:34">
      <c r="A12" s="5">
        <v>46012</v>
      </c>
      <c r="B12" s="6">
        <v>1.8308</v>
      </c>
      <c r="C12" s="6">
        <v>1.9661999999999999</v>
      </c>
      <c r="D12" s="6">
        <v>1.8306</v>
      </c>
      <c r="E12" s="6">
        <v>4.16</v>
      </c>
      <c r="F12" s="6">
        <v>1.5725</v>
      </c>
      <c r="G12" s="6">
        <v>1.7190000000000001</v>
      </c>
      <c r="H12" s="6">
        <v>3.51</v>
      </c>
      <c r="I12" s="6">
        <v>1.3752</v>
      </c>
      <c r="J12" s="10">
        <v>1.92</v>
      </c>
      <c r="K12" s="10">
        <v>184.5</v>
      </c>
      <c r="L12" s="10"/>
      <c r="M12" s="1" cm="1">
        <f t="array" ref="M12">[1]!s_val_pe_ttm(M$6,$A12)</f>
        <v>16.261299133300799</v>
      </c>
      <c r="N12" s="1" cm="1">
        <f t="array" ref="N12">[1]!s_val_pe_ttm(N$6,$A12)</f>
        <v>29.073600769043001</v>
      </c>
      <c r="O12" s="1" cm="1">
        <f t="array" ref="O12">[1]!s_val_pb_lf(O$6,$A12)</f>
        <v>1.46860003471375</v>
      </c>
      <c r="P12" s="1" cm="1">
        <f t="array" ref="P12">[1]!s_val_pb_lf(P$6,$A12)</f>
        <v>5.4928998947143599</v>
      </c>
      <c r="Q12" s="1">
        <f>[1]!cb_anal_convpremiumratio($Q$6,A12-2)</f>
        <v>46.807415039577897</v>
      </c>
      <c r="S12" s="1">
        <f>[1]!cb_anal_straightbondpremiumratio($S$6,A12-3)</f>
        <v>0</v>
      </c>
      <c r="T12" s="9" cm="1">
        <f t="array" ref="T12">[1]!s_dq_close(T$6,$A12,1)</f>
        <v>14.91</v>
      </c>
      <c r="U12" s="9" cm="1">
        <f t="array" ref="U12">[1]!s_dq_close(U$6,$A12,1)</f>
        <v>7.0410000000000004</v>
      </c>
      <c r="V12" s="9" cm="1">
        <f t="array" ref="V12">[1]!s_dq_close(V$6,$A12,1)</f>
        <v>98.712500000000006</v>
      </c>
      <c r="W12" s="11" cm="1">
        <f t="array" ref="W12">[1]!s_dq_close(W$6,$A12,1)</f>
        <v>979.9</v>
      </c>
      <c r="X12" s="11" cm="1">
        <f t="array" ref="X12">[1]!s_dq_close(X$6,$A12,1)</f>
        <v>4368.7</v>
      </c>
      <c r="Y12" s="11" cm="1">
        <f t="array" ref="Y12">[1]!s_dq_close(Y$6,$A12,1)</f>
        <v>56.54</v>
      </c>
      <c r="Z12" s="11" cm="1">
        <f t="array" ref="Z12">[1]!s_dq_close(Z$6,$A12,1)</f>
        <v>60.12</v>
      </c>
      <c r="AA12" s="12" cm="1">
        <f t="array" ref="AA12">[1]!s_dq_oi(AA$6,$A12)</f>
        <v>2116090</v>
      </c>
      <c r="AB12" s="12" cm="1">
        <f t="array" ref="AB12">[1]!s_dq_close(AB$6,$A12,1)</f>
        <v>2735</v>
      </c>
      <c r="AC12" s="12" cm="1">
        <f t="array" ref="AC12">[1]!s_dq_close(AC$6,$A12,1)</f>
        <v>3137.14</v>
      </c>
      <c r="AD12" s="12" cm="1">
        <f t="array" ref="AD12">[1]!s_dq_close(AD$6,$A12,1)</f>
        <v>3119</v>
      </c>
      <c r="AE12" s="12" cm="1">
        <f t="array" ref="AE12">[1]!s_dq_close(AE$6,$A12,1)</f>
        <v>3269</v>
      </c>
      <c r="AF12" s="12" cm="1">
        <f t="array" ref="AF12">[1]!s_dq_close(AF$6,$A12,1)</f>
        <v>780</v>
      </c>
      <c r="AG12" s="12">
        <f>[1]!s_dq_close($AG$6,$A12)</f>
        <v>-1232</v>
      </c>
      <c r="AH12" s="11">
        <f>[1]!s_dq_close($AH$6,A12)</f>
        <v>7.0335999999999999</v>
      </c>
    </row>
    <row r="13" spans="1:34">
      <c r="A13" s="5">
        <v>46005</v>
      </c>
      <c r="B13" s="6">
        <v>1.8395999999999999</v>
      </c>
      <c r="C13" s="6">
        <v>1.9886999999999999</v>
      </c>
      <c r="D13" s="6">
        <v>1.8439000000000001</v>
      </c>
      <c r="E13" s="6">
        <v>4.1900000000000004</v>
      </c>
      <c r="F13" s="6">
        <v>1.6096999999999999</v>
      </c>
      <c r="G13" s="6">
        <v>1.7259</v>
      </c>
      <c r="H13" s="6">
        <v>3.54</v>
      </c>
      <c r="I13" s="6">
        <v>1.3951</v>
      </c>
      <c r="J13" s="10">
        <v>1.93</v>
      </c>
      <c r="K13" s="10">
        <v>186.9</v>
      </c>
      <c r="L13" s="10"/>
      <c r="M13" s="1" cm="1">
        <f t="array" ref="M13">[1]!s_val_pe_ttm(M$6,$A13)</f>
        <v>16.2401008605957</v>
      </c>
      <c r="N13" s="1" cm="1">
        <f t="array" ref="N13">[1]!s_val_pe_ttm(N$6,$A13)</f>
        <v>29.0389003753662</v>
      </c>
      <c r="O13" s="1" cm="1">
        <f t="array" ref="O13">[1]!s_val_pb_lf(O$6,$A13)</f>
        <v>1.46930003166199</v>
      </c>
      <c r="P13" s="1" cm="1">
        <f t="array" ref="P13">[1]!s_val_pb_lf(P$6,$A13)</f>
        <v>5.4923000335693404</v>
      </c>
      <c r="Q13" s="1">
        <f>[1]!cb_anal_convpremiumratio($Q$6,A13-2)</f>
        <v>47.712401044386397</v>
      </c>
      <c r="S13" s="1">
        <f>[1]!cb_anal_straightbondpremiumratio($S$6,A13-3)</f>
        <v>0</v>
      </c>
      <c r="T13" s="9" cm="1">
        <f t="array" ref="T13">[1]!s_dq_close(T$6,$A13,1)</f>
        <v>15.74</v>
      </c>
      <c r="U13" s="9" cm="1">
        <f t="array" ref="U13">[1]!s_dq_close(U$6,$A13,1)</f>
        <v>7.0553999999999997</v>
      </c>
      <c r="V13" s="9" cm="1">
        <f t="array" ref="V13">[1]!s_dq_close(V$6,$A13,1)</f>
        <v>98.401200000000003</v>
      </c>
      <c r="W13" s="11" cm="1">
        <f t="array" ref="W13">[1]!s_dq_close(W$6,$A13,1)</f>
        <v>970.66</v>
      </c>
      <c r="X13" s="11" cm="1">
        <f t="array" ref="X13">[1]!s_dq_close(X$6,$A13,1)</f>
        <v>4329.8</v>
      </c>
      <c r="Y13" s="11" cm="1">
        <f t="array" ref="Y13">[1]!s_dq_close(Y$6,$A13,1)</f>
        <v>57.53</v>
      </c>
      <c r="Z13" s="11" cm="1">
        <f t="array" ref="Z13">[1]!s_dq_close(Z$6,$A13,1)</f>
        <v>61.22</v>
      </c>
      <c r="AA13" s="12" cm="1">
        <f t="array" ref="AA13">[1]!s_dq_oi(AA$6,$A13)</f>
        <v>1925112</v>
      </c>
      <c r="AB13" s="12" cm="1">
        <f t="array" ref="AB13">[1]!s_dq_close(AB$6,$A13,1)</f>
        <v>2770</v>
      </c>
      <c r="AC13" s="12" cm="1">
        <f t="array" ref="AC13">[1]!s_dq_close(AC$6,$A13,1)</f>
        <v>3159.43</v>
      </c>
      <c r="AD13" s="12" cm="1">
        <f t="array" ref="AD13">[1]!s_dq_close(AD$6,$A13,1)</f>
        <v>3060</v>
      </c>
      <c r="AE13" s="12" cm="1">
        <f t="array" ref="AE13">[1]!s_dq_close(AE$6,$A13,1)</f>
        <v>3232</v>
      </c>
      <c r="AF13" s="12" cm="1">
        <f t="array" ref="AF13">[1]!s_dq_close(AF$6,$A13,1)</f>
        <v>760.5</v>
      </c>
      <c r="AG13" s="12">
        <f>[1]!s_dq_close($AG$6,$A13)</f>
        <v>-1293.01</v>
      </c>
      <c r="AH13" s="11">
        <f>[1]!s_dq_close($AH$6,A13)</f>
        <v>7.0534999999999997</v>
      </c>
    </row>
    <row r="14" spans="1:34">
      <c r="A14" s="5">
        <v>45998</v>
      </c>
      <c r="B14" s="6">
        <v>1.8480000000000001</v>
      </c>
      <c r="C14" s="6">
        <v>2.0062000000000002</v>
      </c>
      <c r="D14" s="6">
        <v>1.8652</v>
      </c>
      <c r="E14" s="6">
        <v>4.1399999999999997</v>
      </c>
      <c r="F14" s="6">
        <v>1.6295999999999999</v>
      </c>
      <c r="G14" s="6">
        <v>1.7319</v>
      </c>
      <c r="H14" s="6">
        <v>3.61</v>
      </c>
      <c r="I14" s="6">
        <v>1.4036</v>
      </c>
      <c r="J14" s="10">
        <v>1.88</v>
      </c>
      <c r="K14" s="10">
        <v>0</v>
      </c>
      <c r="L14" s="10"/>
      <c r="M14" s="1" cm="1">
        <f t="array" ref="M14">[1]!s_val_pe_ttm(M$6,$A14)</f>
        <v>16.326900482177699</v>
      </c>
      <c r="N14" s="1" cm="1">
        <f t="array" ref="N14">[1]!s_val_pe_ttm(N$6,$A14)</f>
        <v>29.375099182128899</v>
      </c>
      <c r="O14" s="1" cm="1">
        <f t="array" ref="O14">[1]!s_val_pb_lf(O$6,$A14)</f>
        <v>1.4744000434875499</v>
      </c>
      <c r="P14" s="1" cm="1">
        <f t="array" ref="P14">[1]!s_val_pb_lf(P$6,$A14)</f>
        <v>5.5479998588562003</v>
      </c>
      <c r="Q14" s="1">
        <f>[1]!cb_anal_convpremiumratio($Q$6,A14-2)</f>
        <v>45.348301550387603</v>
      </c>
      <c r="S14" s="1">
        <f>[1]!cb_anal_straightbondpremiumratio($S$6,A14-3)</f>
        <v>0</v>
      </c>
      <c r="T14" s="9" cm="1">
        <f t="array" ref="T14">[1]!s_dq_close(T$6,$A14,1)</f>
        <v>15.41</v>
      </c>
      <c r="U14" s="9" cm="1">
        <f t="array" ref="U14">[1]!s_dq_close(U$6,$A14,1)</f>
        <v>7.0705999999999998</v>
      </c>
      <c r="V14" s="9" cm="1">
        <f t="array" ref="V14">[1]!s_dq_close(V$6,$A14,1)</f>
        <v>98.983000000000004</v>
      </c>
      <c r="W14" s="11" cm="1">
        <f t="array" ref="W14">[1]!s_dq_close(W$6,$A14,1)</f>
        <v>961.04</v>
      </c>
      <c r="X14" s="11" cm="1">
        <f t="array" ref="X14">[1]!s_dq_close(X$6,$A14,1)</f>
        <v>4227.7</v>
      </c>
      <c r="Y14" s="11" cm="1">
        <f t="array" ref="Y14">[1]!s_dq_close(Y$6,$A14,1)</f>
        <v>60.14</v>
      </c>
      <c r="Z14" s="11" cm="1">
        <f t="array" ref="Z14">[1]!s_dq_close(Z$6,$A14,1)</f>
        <v>63.86</v>
      </c>
      <c r="AA14" s="12" cm="1">
        <f t="array" ref="AA14">[1]!s_dq_oi(AA$6,$A14)</f>
        <v>1783520</v>
      </c>
      <c r="AB14" s="12" cm="1">
        <f t="array" ref="AB14">[1]!s_dq_close(AB$6,$A14,1)</f>
        <v>2821</v>
      </c>
      <c r="AC14" s="12" cm="1">
        <f t="array" ref="AC14">[1]!s_dq_close(AC$6,$A14,1)</f>
        <v>3111.43</v>
      </c>
      <c r="AD14" s="12" cm="1">
        <f t="array" ref="AD14">[1]!s_dq_close(AD$6,$A14,1)</f>
        <v>3157</v>
      </c>
      <c r="AE14" s="12" cm="1">
        <f t="array" ref="AE14">[1]!s_dq_close(AE$6,$A14,1)</f>
        <v>3320</v>
      </c>
      <c r="AF14" s="12" cm="1">
        <f t="array" ref="AF14">[1]!s_dq_close(AF$6,$A14,1)</f>
        <v>785.5</v>
      </c>
      <c r="AG14" s="12">
        <f>[1]!s_dq_close($AG$6,$A14)</f>
        <v>-1291</v>
      </c>
      <c r="AH14" s="11">
        <f>[1]!s_dq_close($AH$6,A14)</f>
        <v>7.0690999999999997</v>
      </c>
    </row>
    <row r="15" spans="1:34">
      <c r="A15" s="5">
        <v>45991</v>
      </c>
      <c r="B15" s="6">
        <v>1.8411999999999999</v>
      </c>
      <c r="C15" s="6">
        <v>1.974</v>
      </c>
      <c r="D15" s="6">
        <v>1.8395999999999999</v>
      </c>
      <c r="E15" s="6">
        <v>4.0199999999999996</v>
      </c>
      <c r="F15" s="6">
        <v>1.6246</v>
      </c>
      <c r="G15" s="6">
        <v>1.7205999999999999</v>
      </c>
      <c r="H15" s="6">
        <v>3.61</v>
      </c>
      <c r="I15" s="6">
        <v>1.4182999999999999</v>
      </c>
      <c r="J15" s="10">
        <v>1.79</v>
      </c>
      <c r="K15" s="10">
        <v>181.8</v>
      </c>
      <c r="L15" s="10"/>
      <c r="M15" s="1" cm="1">
        <f t="array" ref="M15">[1]!s_val_pe_ttm(M$6,$A15)</f>
        <v>16.270399093627901</v>
      </c>
      <c r="N15" s="1" cm="1">
        <f t="array" ref="N15">[1]!s_val_pe_ttm(N$6,$A15)</f>
        <v>29.2411994934082</v>
      </c>
      <c r="O15" s="1" cm="1">
        <f t="array" ref="O15">[1]!s_val_pb_lf(O$6,$A15)</f>
        <v>1.4704999923706099</v>
      </c>
      <c r="P15" s="1" cm="1">
        <f t="array" ref="P15">[1]!s_val_pb_lf(P$6,$A15)</f>
        <v>5.5253000259399396</v>
      </c>
      <c r="Q15" s="1">
        <f>[1]!cb_anal_convpremiumratio($Q$6,A15-2)</f>
        <v>44.279973643410898</v>
      </c>
      <c r="S15" s="1">
        <f>[1]!cb_anal_straightbondpremiumratio($S$6,A15-3)</f>
        <v>0</v>
      </c>
      <c r="T15" s="9" cm="1">
        <f t="array" ref="T15">[1]!s_dq_close(T$6,$A15,1)</f>
        <v>16.350000000000001</v>
      </c>
      <c r="U15" s="9" cm="1">
        <f t="array" ref="U15">[1]!s_dq_close(U$6,$A15,1)</f>
        <v>7.0793999999999997</v>
      </c>
      <c r="V15" s="9" cm="1">
        <f t="array" ref="V15">[1]!s_dq_close(V$6,$A15,1)</f>
        <v>99.439099999999996</v>
      </c>
      <c r="W15" s="11" cm="1">
        <f t="array" ref="W15">[1]!s_dq_close(W$6,$A15,1)</f>
        <v>953.92</v>
      </c>
      <c r="X15" s="11" cm="1">
        <f t="array" ref="X15">[1]!s_dq_close(X$6,$A15,1)</f>
        <v>4256.3999999999996</v>
      </c>
      <c r="Y15" s="11" cm="1">
        <f t="array" ref="Y15">[1]!s_dq_close(Y$6,$A15,1)</f>
        <v>58.48</v>
      </c>
      <c r="Z15" s="11" cm="1">
        <f t="array" ref="Z15">[1]!s_dq_close(Z$6,$A15,1)</f>
        <v>62.32</v>
      </c>
      <c r="AA15" s="12" cm="1">
        <f t="array" ref="AA15">[1]!s_dq_oi(AA$6,$A15)</f>
        <v>1297132</v>
      </c>
      <c r="AB15" s="12" cm="1">
        <f t="array" ref="AB15">[1]!s_dq_close(AB$6,$A15,1)</f>
        <v>3044</v>
      </c>
      <c r="AC15" s="12" cm="1">
        <f t="array" ref="AC15">[1]!s_dq_close(AC$6,$A15,1)</f>
        <v>3107.43</v>
      </c>
      <c r="AD15" s="12" cm="1">
        <f t="array" ref="AD15">[1]!s_dq_close(AD$6,$A15,1)</f>
        <v>3110</v>
      </c>
      <c r="AE15" s="12" cm="1">
        <f t="array" ref="AE15">[1]!s_dq_close(AE$6,$A15,1)</f>
        <v>3302</v>
      </c>
      <c r="AF15" s="12" cm="1">
        <f t="array" ref="AF15">[1]!s_dq_close(AF$6,$A15,1)</f>
        <v>794</v>
      </c>
      <c r="AG15" s="12">
        <f>[1]!s_dq_close($AG$6,$A15)</f>
        <v>-1295</v>
      </c>
      <c r="AH15" s="11">
        <f>[1]!s_dq_close($AH$6,A15)</f>
        <v>7.0712999999999999</v>
      </c>
    </row>
    <row r="16" spans="1:34">
      <c r="A16" s="5">
        <v>45984</v>
      </c>
      <c r="B16" s="6">
        <v>1.8166</v>
      </c>
      <c r="C16" s="6">
        <v>1.9415</v>
      </c>
      <c r="D16" s="6">
        <v>1.8003</v>
      </c>
      <c r="E16" s="6">
        <v>4.0599999999999996</v>
      </c>
      <c r="F16" s="6">
        <v>1.6191</v>
      </c>
      <c r="G16" s="6">
        <v>1.6952</v>
      </c>
      <c r="H16" s="6">
        <v>3.62</v>
      </c>
      <c r="I16" s="6">
        <v>1.4302999999999999</v>
      </c>
      <c r="J16" s="10">
        <v>1.82</v>
      </c>
      <c r="K16" s="10">
        <v>194.3</v>
      </c>
      <c r="L16" s="10"/>
      <c r="M16" s="1" cm="1">
        <f t="array" ref="M16">[1]!s_val_pe_ttm(M$6,$A16)</f>
        <v>16.100500106811499</v>
      </c>
      <c r="N16" s="1" cm="1">
        <f t="array" ref="N16">[1]!s_val_pe_ttm(N$6,$A16)</f>
        <v>28.093000411987301</v>
      </c>
      <c r="O16" s="1" cm="1">
        <f t="array" ref="O16">[1]!s_val_pb_lf(O$6,$A16)</f>
        <v>1.45519995689392</v>
      </c>
      <c r="P16" s="1" cm="1">
        <f t="array" ref="P16">[1]!s_val_pb_lf(P$6,$A16)</f>
        <v>5.3137001991271999</v>
      </c>
      <c r="Q16" s="1">
        <f>[1]!cb_anal_convpremiumratio($Q$6,A16-2)</f>
        <v>48.523609160305298</v>
      </c>
      <c r="S16" s="1">
        <f>[1]!cb_anal_straightbondpremiumratio($S$6,A16-3)</f>
        <v>0</v>
      </c>
      <c r="T16" s="9" cm="1">
        <f t="array" ref="T16">[1]!s_dq_close(T$6,$A16,1)</f>
        <v>23.43</v>
      </c>
      <c r="U16" s="9" cm="1">
        <f t="array" ref="U16">[1]!s_dq_close(U$6,$A16,1)</f>
        <v>7.1102999999999996</v>
      </c>
      <c r="V16" s="9" cm="1">
        <f t="array" ref="V16">[1]!s_dq_close(V$6,$A16,1)</f>
        <v>100.1527</v>
      </c>
      <c r="W16" s="11" cm="1">
        <f t="array" ref="W16">[1]!s_dq_close(W$6,$A16,1)</f>
        <v>926.94</v>
      </c>
      <c r="X16" s="11" cm="1">
        <f t="array" ref="X16">[1]!s_dq_close(X$6,$A16,1)</f>
        <v>4062.8</v>
      </c>
      <c r="Y16" s="11" cm="1">
        <f t="array" ref="Y16">[1]!s_dq_close(Y$6,$A16,1)</f>
        <v>57.98</v>
      </c>
      <c r="Z16" s="11" cm="1">
        <f t="array" ref="Z16">[1]!s_dq_close(Z$6,$A16,1)</f>
        <v>62.51</v>
      </c>
      <c r="AA16" s="12" cm="1">
        <f t="array" ref="AA16">[1]!s_dq_oi(AA$6,$A16)</f>
        <v>1511379</v>
      </c>
      <c r="AB16" s="12" cm="1">
        <f t="array" ref="AB16">[1]!s_dq_close(AB$6,$A16,1)</f>
        <v>3012</v>
      </c>
      <c r="AC16" s="12" cm="1">
        <f t="array" ref="AC16">[1]!s_dq_close(AC$6,$A16,1)</f>
        <v>3075.43</v>
      </c>
      <c r="AD16" s="12" cm="1">
        <f t="array" ref="AD16">[1]!s_dq_close(AD$6,$A16,1)</f>
        <v>3057</v>
      </c>
      <c r="AE16" s="12" cm="1">
        <f t="array" ref="AE16">[1]!s_dq_close(AE$6,$A16,1)</f>
        <v>3270</v>
      </c>
      <c r="AF16" s="12" cm="1">
        <f t="array" ref="AF16">[1]!s_dq_close(AF$6,$A16,1)</f>
        <v>785.5</v>
      </c>
      <c r="AG16" s="12">
        <f>[1]!s_dq_close($AG$6,$A16)</f>
        <v>-1346.01</v>
      </c>
      <c r="AH16" s="11">
        <f>[1]!s_dq_close($AH$6,A16)</f>
        <v>7.1054000000000004</v>
      </c>
    </row>
    <row r="17" spans="1:34">
      <c r="A17" s="5">
        <v>45977</v>
      </c>
      <c r="B17" s="6">
        <v>1.8140000000000001</v>
      </c>
      <c r="C17" s="6">
        <v>1.9371</v>
      </c>
      <c r="D17" s="6">
        <v>1.8008999999999999</v>
      </c>
      <c r="E17" s="6">
        <v>4.1399999999999997</v>
      </c>
      <c r="F17" s="6">
        <v>1.6121000000000001</v>
      </c>
      <c r="G17" s="6">
        <v>1.6992</v>
      </c>
      <c r="H17" s="6">
        <v>3.7</v>
      </c>
      <c r="I17" s="6">
        <v>1.4312</v>
      </c>
      <c r="J17" s="10">
        <v>1.86</v>
      </c>
      <c r="K17" s="10">
        <v>192.6</v>
      </c>
      <c r="L17" s="10"/>
      <c r="M17" s="1" cm="1">
        <f t="array" ref="M17">[1]!s_val_pe_ttm(M$6,$A17)</f>
        <v>16.6427001953125</v>
      </c>
      <c r="N17" s="1" cm="1">
        <f t="array" ref="N17">[1]!s_val_pe_ttm(N$6,$A17)</f>
        <v>28.646600723266602</v>
      </c>
      <c r="O17" s="1" cm="1">
        <f t="array" ref="O17">[1]!s_val_pb_lf(O$6,$A17)</f>
        <v>1.50450003147125</v>
      </c>
      <c r="P17" s="1" cm="1">
        <f t="array" ref="P17">[1]!s_val_pb_lf(P$6,$A17)</f>
        <v>5.3990998268127397</v>
      </c>
      <c r="Q17" s="1">
        <f>[1]!cb_anal_convpremiumratio($Q$6,A17-2)</f>
        <v>41.4830473417721</v>
      </c>
      <c r="S17" s="1">
        <f>[1]!cb_anal_straightbondpremiumratio($S$6,A17-3)</f>
        <v>0</v>
      </c>
      <c r="T17" s="9" cm="1">
        <f t="array" ref="T17">[1]!s_dq_close(T$6,$A17,1)</f>
        <v>19.829999999999998</v>
      </c>
      <c r="U17" s="9" cm="1">
        <f t="array" ref="U17">[1]!s_dq_close(U$6,$A17,1)</f>
        <v>7.1006999999999998</v>
      </c>
      <c r="V17" s="9" cm="1">
        <f t="array" ref="V17">[1]!s_dq_close(V$6,$A17,1)</f>
        <v>99.284499999999994</v>
      </c>
      <c r="W17" s="11" cm="1">
        <f t="array" ref="W17">[1]!s_dq_close(W$6,$A17,1)</f>
        <v>953.2</v>
      </c>
      <c r="X17" s="11" cm="1">
        <f t="array" ref="X17">[1]!s_dq_close(X$6,$A17,1)</f>
        <v>4084.4</v>
      </c>
      <c r="Y17" s="11" cm="1">
        <f t="array" ref="Y17">[1]!s_dq_close(Y$6,$A17,1)</f>
        <v>59.95</v>
      </c>
      <c r="Z17" s="11" cm="1">
        <f t="array" ref="Z17">[1]!s_dq_close(Z$6,$A17,1)</f>
        <v>64.290000000000006</v>
      </c>
      <c r="AA17" s="12" cm="1">
        <f t="array" ref="AA17">[1]!s_dq_oi(AA$6,$A17)</f>
        <v>1700146</v>
      </c>
      <c r="AB17" s="12" cm="1">
        <f t="array" ref="AB17">[1]!s_dq_close(AB$6,$A17,1)</f>
        <v>3092</v>
      </c>
      <c r="AC17" s="12" cm="1">
        <f t="array" ref="AC17">[1]!s_dq_close(AC$6,$A17,1)</f>
        <v>3124</v>
      </c>
      <c r="AD17" s="12" cm="1">
        <f t="array" ref="AD17">[1]!s_dq_close(AD$6,$A17,1)</f>
        <v>3053</v>
      </c>
      <c r="AE17" s="12" cm="1">
        <f t="array" ref="AE17">[1]!s_dq_close(AE$6,$A17,1)</f>
        <v>3256</v>
      </c>
      <c r="AF17" s="12" cm="1">
        <f t="array" ref="AF17">[1]!s_dq_close(AF$6,$A17,1)</f>
        <v>772.5</v>
      </c>
      <c r="AG17" s="12">
        <f>[1]!s_dq_close($AG$6,$A17)</f>
        <v>-1313</v>
      </c>
      <c r="AH17" s="11">
        <f>[1]!s_dq_close($AH$6,A17)</f>
        <v>7.1001000000000003</v>
      </c>
    </row>
    <row r="18" spans="1:34">
      <c r="A18" s="5">
        <v>45970</v>
      </c>
      <c r="B18" s="6">
        <v>1.8142</v>
      </c>
      <c r="C18" s="6">
        <v>1.9489000000000001</v>
      </c>
      <c r="D18" s="6">
        <v>1.7915000000000001</v>
      </c>
      <c r="E18" s="6">
        <v>4.1100000000000003</v>
      </c>
      <c r="F18" s="6">
        <v>1.6121000000000001</v>
      </c>
      <c r="G18" s="6">
        <v>1.7005999999999999</v>
      </c>
      <c r="H18" s="6">
        <v>3.63</v>
      </c>
      <c r="I18" s="6">
        <v>1.4337</v>
      </c>
      <c r="J18" s="10">
        <v>1.83</v>
      </c>
      <c r="K18" s="10">
        <v>0</v>
      </c>
      <c r="L18" s="10"/>
      <c r="M18" s="1" cm="1">
        <f t="array" ref="M18">[1]!s_val_pe_ttm(M$6,$A18)</f>
        <v>16.647499084472699</v>
      </c>
      <c r="N18" s="1" cm="1">
        <f t="array" ref="N18">[1]!s_val_pe_ttm(N$6,$A18)</f>
        <v>28.686700820922901</v>
      </c>
      <c r="O18" s="1" cm="1">
        <f t="array" ref="O18">[1]!s_val_pb_lf(O$6,$A18)</f>
        <v>1.50380003452301</v>
      </c>
      <c r="P18" s="1" cm="1">
        <f t="array" ref="P18">[1]!s_val_pb_lf(P$6,$A18)</f>
        <v>5.4008002281189</v>
      </c>
      <c r="Q18" s="1">
        <f>[1]!cb_anal_convpremiumratio($Q$6,A18-2)</f>
        <v>41.708389420654903</v>
      </c>
      <c r="S18" s="1">
        <f>[1]!cb_anal_straightbondpremiumratio($S$6,A18-3)</f>
        <v>0</v>
      </c>
      <c r="T18" s="9" cm="1">
        <f t="array" ref="T18">[1]!s_dq_close(T$6,$A18,1)</f>
        <v>19.079999999999998</v>
      </c>
      <c r="U18" s="9" cm="1">
        <f t="array" ref="U18">[1]!s_dq_close(U$6,$A18,1)</f>
        <v>7.1224999999999996</v>
      </c>
      <c r="V18" s="9" cm="1">
        <f t="array" ref="V18">[1]!s_dq_close(V$6,$A18,1)</f>
        <v>99.547700000000006</v>
      </c>
      <c r="W18" s="11" cm="1">
        <f t="array" ref="W18">[1]!s_dq_close(W$6,$A18,1)</f>
        <v>921.26</v>
      </c>
      <c r="X18" s="11" cm="1">
        <f t="array" ref="X18">[1]!s_dq_close(X$6,$A18,1)</f>
        <v>4007.8</v>
      </c>
      <c r="Y18" s="11" cm="1">
        <f t="array" ref="Y18">[1]!s_dq_close(Y$6,$A18,1)</f>
        <v>59.84</v>
      </c>
      <c r="Z18" s="11" cm="1">
        <f t="array" ref="Z18">[1]!s_dq_close(Z$6,$A18,1)</f>
        <v>63.7</v>
      </c>
      <c r="AA18" s="12" cm="1">
        <f t="array" ref="AA18">[1]!s_dq_oi(AA$6,$A18)</f>
        <v>1577123</v>
      </c>
      <c r="AB18" s="12" cm="1">
        <f t="array" ref="AB18">[1]!s_dq_close(AB$6,$A18,1)</f>
        <v>3058</v>
      </c>
      <c r="AC18" s="12" cm="1">
        <f t="array" ref="AC18">[1]!s_dq_close(AC$6,$A18,1)</f>
        <v>3097.71</v>
      </c>
      <c r="AD18" s="12" cm="1">
        <f t="array" ref="AD18">[1]!s_dq_close(AD$6,$A18,1)</f>
        <v>3034</v>
      </c>
      <c r="AE18" s="12" cm="1">
        <f t="array" ref="AE18">[1]!s_dq_close(AE$6,$A18,1)</f>
        <v>3245</v>
      </c>
      <c r="AF18" s="12" cm="1">
        <f t="array" ref="AF18">[1]!s_dq_close(AF$6,$A18,1)</f>
        <v>760.5</v>
      </c>
      <c r="AG18" s="12">
        <f>[1]!s_dq_close($AG$6,$A18)</f>
        <v>-1315</v>
      </c>
      <c r="AH18" s="11">
        <f>[1]!s_dq_close($AH$6,A18)</f>
        <v>7.1252000000000004</v>
      </c>
    </row>
    <row r="19" spans="1:34">
      <c r="A19" s="5">
        <v>45963</v>
      </c>
      <c r="B19" s="6">
        <v>1.7954000000000001</v>
      </c>
      <c r="C19" s="6">
        <v>1.9254</v>
      </c>
      <c r="D19" s="6">
        <v>1.7687999999999999</v>
      </c>
      <c r="E19" s="6">
        <v>4.1100000000000003</v>
      </c>
      <c r="F19" s="6">
        <v>1.587</v>
      </c>
      <c r="G19" s="6">
        <v>1.6884999999999999</v>
      </c>
      <c r="H19" s="6">
        <v>3.7</v>
      </c>
      <c r="I19" s="6">
        <v>1.4021999999999999</v>
      </c>
      <c r="J19" s="10">
        <v>1.81</v>
      </c>
      <c r="K19" s="10">
        <v>181.7</v>
      </c>
      <c r="L19" s="10"/>
      <c r="M19" s="1" cm="1">
        <f t="array" ref="M19">[1]!s_val_pe_ttm(M$6,$A19)</f>
        <v>16.4545993804932</v>
      </c>
      <c r="N19" s="1" cm="1">
        <f t="array" ref="N19">[1]!s_val_pe_ttm(N$6,$A19)</f>
        <v>29.139499664306602</v>
      </c>
      <c r="O19" s="1" cm="1">
        <f t="array" ref="O19">[1]!s_val_pb_lf(O$6,$A19)</f>
        <v>1.48689997196198</v>
      </c>
      <c r="P19" s="1" cm="1">
        <f t="array" ref="P19">[1]!s_val_pb_lf(P$6,$A19)</f>
        <v>5.5324997901916504</v>
      </c>
      <c r="Q19" s="1">
        <f>[1]!cb_anal_convpremiumratio($Q$6,A19-2)</f>
        <v>42.296631645569597</v>
      </c>
      <c r="S19" s="1">
        <f>[1]!cb_anal_straightbondpremiumratio($S$6,A19-3)</f>
        <v>0</v>
      </c>
      <c r="T19" s="9" cm="1">
        <f t="array" ref="T19">[1]!s_dq_close(T$6,$A19,1)</f>
        <v>17.440000000000001</v>
      </c>
      <c r="U19" s="9" cm="1">
        <f t="array" ref="U19">[1]!s_dq_close(U$6,$A19,1)</f>
        <v>7.1135000000000002</v>
      </c>
      <c r="V19" s="9" cm="1">
        <f t="array" ref="V19">[1]!s_dq_close(V$6,$A19,1)</f>
        <v>99.730800000000002</v>
      </c>
      <c r="W19" s="11" cm="1">
        <f t="array" ref="W19">[1]!s_dq_close(W$6,$A19,1)</f>
        <v>921.92</v>
      </c>
      <c r="X19" s="11" cm="1">
        <f t="array" ref="X19">[1]!s_dq_close(X$6,$A19,1)</f>
        <v>4013.4</v>
      </c>
      <c r="Y19" s="11" cm="1">
        <f t="array" ref="Y19">[1]!s_dq_close(Y$6,$A19,1)</f>
        <v>60.88</v>
      </c>
      <c r="Z19" s="11" cm="1">
        <f t="array" ref="Z19">[1]!s_dq_close(Z$6,$A19,1)</f>
        <v>64.58</v>
      </c>
      <c r="AA19" s="12" cm="1">
        <f t="array" ref="AA19">[1]!s_dq_oi(AA$6,$A19)</f>
        <v>1649285</v>
      </c>
      <c r="AB19" s="12" cm="1">
        <f t="array" ref="AB19">[1]!s_dq_close(AB$6,$A19,1)</f>
        <v>3021</v>
      </c>
      <c r="AC19" s="12" cm="1">
        <f t="array" ref="AC19">[1]!s_dq_close(AC$6,$A19,1)</f>
        <v>3073.71</v>
      </c>
      <c r="AD19" s="12" cm="1">
        <f t="array" ref="AD19">[1]!s_dq_close(AD$6,$A19,1)</f>
        <v>3106</v>
      </c>
      <c r="AE19" s="12" cm="1">
        <f t="array" ref="AE19">[1]!s_dq_close(AE$6,$A19,1)</f>
        <v>3308</v>
      </c>
      <c r="AF19" s="12" cm="1">
        <f t="array" ref="AF19">[1]!s_dq_close(AF$6,$A19,1)</f>
        <v>800</v>
      </c>
      <c r="AG19" s="12">
        <f>[1]!s_dq_close($AG$6,$A19)</f>
        <v>-1287</v>
      </c>
      <c r="AH19" s="11">
        <f>[1]!s_dq_close($AH$6,A19)</f>
        <v>7.1223999999999998</v>
      </c>
    </row>
    <row r="20" spans="1:34">
      <c r="A20" s="5">
        <v>45956</v>
      </c>
      <c r="B20" s="6">
        <v>1.8486</v>
      </c>
      <c r="C20" s="6">
        <v>2.0013000000000001</v>
      </c>
      <c r="D20" s="6">
        <v>1.8404</v>
      </c>
      <c r="E20" s="6">
        <v>4.0199999999999996</v>
      </c>
      <c r="F20" s="6">
        <v>1.6419999999999999</v>
      </c>
      <c r="G20" s="6">
        <v>1.7052</v>
      </c>
      <c r="H20" s="6">
        <v>3.58</v>
      </c>
      <c r="I20" s="6">
        <v>1.4923</v>
      </c>
      <c r="J20" s="10">
        <v>1.73</v>
      </c>
      <c r="K20" s="10">
        <v>201.4</v>
      </c>
      <c r="L20" s="10"/>
      <c r="M20" s="1" cm="1">
        <f t="array" ref="M20">[1]!s_val_pe_ttm(M$6,$A20)</f>
        <v>16.911500930786101</v>
      </c>
      <c r="N20" s="1" cm="1">
        <f t="array" ref="N20">[1]!s_val_pe_ttm(N$6,$A20)</f>
        <v>29.349300384521499</v>
      </c>
      <c r="O20" s="1" cm="1">
        <f t="array" ref="O20">[1]!s_val_pb_lf(O$6,$A20)</f>
        <v>1.521399974823</v>
      </c>
      <c r="P20" s="1" cm="1">
        <f t="array" ref="P20">[1]!s_val_pb_lf(P$6,$A20)</f>
        <v>5.5556998252868697</v>
      </c>
      <c r="Q20" s="1">
        <f>[1]!cb_anal_convpremiumratio($Q$6,A20-2)</f>
        <v>42.572669346733598</v>
      </c>
      <c r="S20" s="1">
        <f>[1]!cb_anal_straightbondpremiumratio($S$6,A20-3)</f>
        <v>0</v>
      </c>
      <c r="T20" s="9" cm="1">
        <f t="array" ref="T20">[1]!s_dq_close(T$6,$A20,1)</f>
        <v>16.37</v>
      </c>
      <c r="U20" s="9" cm="1">
        <f t="array" ref="U20">[1]!s_dq_close(U$6,$A20,1)</f>
        <v>7.1230000000000002</v>
      </c>
      <c r="V20" s="9" cm="1">
        <f t="array" ref="V20">[1]!s_dq_close(V$6,$A20,1)</f>
        <v>98.941699999999997</v>
      </c>
      <c r="W20" s="11" cm="1">
        <f t="array" ref="W20">[1]!s_dq_close(W$6,$A20,1)</f>
        <v>938.1</v>
      </c>
      <c r="X20" s="11" cm="1">
        <f t="array" ref="X20">[1]!s_dq_close(X$6,$A20,1)</f>
        <v>4126.8999999999996</v>
      </c>
      <c r="Y20" s="11" cm="1">
        <f t="array" ref="Y20">[1]!s_dq_close(Y$6,$A20,1)</f>
        <v>61.44</v>
      </c>
      <c r="Z20" s="11" cm="1">
        <f t="array" ref="Z20">[1]!s_dq_close(Z$6,$A20,1)</f>
        <v>64.92</v>
      </c>
      <c r="AA20" s="12" cm="1">
        <f t="array" ref="AA20">[1]!s_dq_oi(AA$6,$A20)</f>
        <v>1758858</v>
      </c>
      <c r="AB20" s="12" cm="1">
        <f t="array" ref="AB20">[1]!s_dq_close(AB$6,$A20,1)</f>
        <v>2933</v>
      </c>
      <c r="AC20" s="12" cm="1">
        <f t="array" ref="AC20">[1]!s_dq_close(AC$6,$A20,1)</f>
        <v>3034.29</v>
      </c>
      <c r="AD20" s="12" cm="1">
        <f t="array" ref="AD20">[1]!s_dq_close(AD$6,$A20,1)</f>
        <v>3046</v>
      </c>
      <c r="AE20" s="12" cm="1">
        <f t="array" ref="AE20">[1]!s_dq_close(AE$6,$A20,1)</f>
        <v>3250</v>
      </c>
      <c r="AF20" s="12" cm="1">
        <f t="array" ref="AF20">[1]!s_dq_close(AF$6,$A20,1)</f>
        <v>771</v>
      </c>
      <c r="AG20" s="12">
        <f>[1]!s_dq_close($AG$6,$A20)</f>
        <v>-1272</v>
      </c>
      <c r="AH20" s="11">
        <f>[1]!s_dq_close($AH$6,A20)</f>
        <v>7.1261999999999999</v>
      </c>
    </row>
    <row r="21" spans="1:34">
      <c r="A21" s="5">
        <v>45949</v>
      </c>
      <c r="B21" s="6">
        <v>1.8246</v>
      </c>
      <c r="C21" s="6">
        <v>1.9903999999999999</v>
      </c>
      <c r="D21" s="6">
        <v>1.8512</v>
      </c>
      <c r="E21" s="6">
        <v>4.0199999999999996</v>
      </c>
      <c r="F21" s="6">
        <v>1.625</v>
      </c>
      <c r="G21" s="6">
        <v>1.7254</v>
      </c>
      <c r="H21" s="6">
        <v>3.56</v>
      </c>
      <c r="I21" s="6">
        <v>1.494</v>
      </c>
      <c r="J21" s="10">
        <v>1.75</v>
      </c>
      <c r="K21" s="10">
        <v>0</v>
      </c>
      <c r="L21" s="10"/>
      <c r="M21" s="1" cm="1">
        <f t="array" ref="M21">[1]!s_val_pe_ttm(M$6,$A21)</f>
        <v>16.4913005828857</v>
      </c>
      <c r="N21" s="1" cm="1">
        <f t="array" ref="N21">[1]!s_val_pe_ttm(N$6,$A21)</f>
        <v>29.342199325561499</v>
      </c>
      <c r="O21" s="1" cm="1">
        <f t="array" ref="O21">[1]!s_val_pb_lf(O$6,$A21)</f>
        <v>1.48179996013641</v>
      </c>
      <c r="P21" s="1" cm="1">
        <f t="array" ref="P21">[1]!s_val_pb_lf(P$6,$A21)</f>
        <v>5.4742999076843297</v>
      </c>
      <c r="Q21" s="1">
        <f>[1]!cb_anal_convpremiumratio($Q$6,A21-2)</f>
        <v>43.560957920791999</v>
      </c>
      <c r="S21" s="1">
        <f>[1]!cb_anal_straightbondpremiumratio($S$6,A21-3)</f>
        <v>0</v>
      </c>
      <c r="T21" s="9" cm="1">
        <f t="array" ref="T21">[1]!s_dq_close(T$6,$A21,1)</f>
        <v>20.78</v>
      </c>
      <c r="U21" s="9" cm="1">
        <f t="array" ref="U21">[1]!s_dq_close(U$6,$A21,1)</f>
        <v>7.1265000000000001</v>
      </c>
      <c r="V21" s="9" cm="1">
        <f t="array" ref="V21">[1]!s_dq_close(V$6,$A21,1)</f>
        <v>98.555599999999998</v>
      </c>
      <c r="W21" s="11" cm="1">
        <f t="array" ref="W21">[1]!s_dq_close(W$6,$A21,1)</f>
        <v>999.8</v>
      </c>
      <c r="X21" s="11" cm="1">
        <f t="array" ref="X21">[1]!s_dq_close(X$6,$A21,1)</f>
        <v>4267.8999999999996</v>
      </c>
      <c r="Y21" s="11" cm="1">
        <f t="array" ref="Y21">[1]!s_dq_close(Y$6,$A21,1)</f>
        <v>57.25</v>
      </c>
      <c r="Z21" s="11" cm="1">
        <f t="array" ref="Z21">[1]!s_dq_close(Z$6,$A21,1)</f>
        <v>61.34</v>
      </c>
      <c r="AA21" s="12" cm="1">
        <f t="array" ref="AA21">[1]!s_dq_oi(AA$6,$A21)</f>
        <v>2044648</v>
      </c>
      <c r="AB21" s="12" cm="1">
        <f t="array" ref="AB21">[1]!s_dq_close(AB$6,$A21,1)</f>
        <v>2868</v>
      </c>
      <c r="AC21" s="12" cm="1">
        <f t="array" ref="AC21">[1]!s_dq_close(AC$6,$A21,1)</f>
        <v>2993.43</v>
      </c>
      <c r="AD21" s="12" cm="1">
        <f t="array" ref="AD21">[1]!s_dq_close(AD$6,$A21,1)</f>
        <v>3037</v>
      </c>
      <c r="AE21" s="12" cm="1">
        <f t="array" ref="AE21">[1]!s_dq_close(AE$6,$A21,1)</f>
        <v>3204</v>
      </c>
      <c r="AF21" s="12" cm="1">
        <f t="array" ref="AF21">[1]!s_dq_close(AF$6,$A21,1)</f>
        <v>771</v>
      </c>
      <c r="AG21" s="12">
        <f>[1]!s_dq_close($AG$6,$A21)</f>
        <v>-1246</v>
      </c>
      <c r="AH21" s="11">
        <f>[1]!s_dq_close($AH$6,A21)</f>
        <v>7.1269</v>
      </c>
    </row>
    <row r="22" spans="1:34">
      <c r="A22" s="5">
        <v>45942</v>
      </c>
      <c r="B22" s="6">
        <v>1.8206</v>
      </c>
      <c r="C22" s="6">
        <v>1.9994000000000001</v>
      </c>
      <c r="D22" s="6">
        <v>1.873</v>
      </c>
      <c r="E22" s="6">
        <v>4.05</v>
      </c>
      <c r="F22" s="6">
        <v>1.6108</v>
      </c>
      <c r="G22" s="6">
        <v>1.7367999999999999</v>
      </c>
      <c r="H22" s="6">
        <v>3.6</v>
      </c>
      <c r="I22" s="6">
        <v>1.4822</v>
      </c>
      <c r="J22" s="10">
        <v>1.75</v>
      </c>
      <c r="K22" s="10">
        <v>203.2</v>
      </c>
      <c r="L22" s="10"/>
      <c r="M22" s="1" cm="1">
        <f t="array" ref="M22">[1]!s_val_pe_ttm(M$6,$A22)</f>
        <v>16.689599990844702</v>
      </c>
      <c r="N22" s="1" cm="1">
        <f t="array" ref="N22">[1]!s_val_pe_ttm(N$6,$A22)</f>
        <v>28.967300415039102</v>
      </c>
      <c r="O22" s="1" cm="1">
        <f t="array" ref="O22">[1]!s_val_pb_lf(O$6,$A22)</f>
        <v>1.4970999956130999</v>
      </c>
      <c r="P22" s="1" cm="1">
        <f t="array" ref="P22">[1]!s_val_pb_lf(P$6,$A22)</f>
        <v>5.38320016860962</v>
      </c>
      <c r="Q22" s="1">
        <f>[1]!cb_anal_convpremiumratio($Q$6,A22-2)</f>
        <v>41.700332682926799</v>
      </c>
      <c r="S22" s="1">
        <f>[1]!cb_anal_straightbondpremiumratio($S$6,A22-3)</f>
        <v>0</v>
      </c>
      <c r="T22" s="9" cm="1">
        <f t="array" ref="T22">[1]!s_dq_close(T$6,$A22,1)</f>
        <v>21.66</v>
      </c>
      <c r="U22" s="9" cm="1">
        <f t="array" ref="U22">[1]!s_dq_close(U$6,$A22,1)</f>
        <v>7.1231999999999998</v>
      </c>
      <c r="V22" s="9" cm="1">
        <f t="array" ref="V22">[1]!s_dq_close(V$6,$A22,1)</f>
        <v>98.822299999999998</v>
      </c>
      <c r="W22" s="11" cm="1">
        <f t="array" ref="W22">[1]!s_dq_close(W$6,$A22,1)</f>
        <v>901.56</v>
      </c>
      <c r="X22" s="11" cm="1">
        <f t="array" ref="X22">[1]!s_dq_close(X$6,$A22,1)</f>
        <v>4035.5</v>
      </c>
      <c r="Y22" s="11" cm="1">
        <f t="array" ref="Y22">[1]!s_dq_close(Y$6,$A22,1)</f>
        <v>58.24</v>
      </c>
      <c r="Z22" s="11" cm="1">
        <f t="array" ref="Z22">[1]!s_dq_close(Z$6,$A22,1)</f>
        <v>62.09</v>
      </c>
      <c r="AA22" s="12" cm="1">
        <f t="array" ref="AA22">[1]!s_dq_oi(AA$6,$A22)</f>
        <v>1927483</v>
      </c>
      <c r="AB22" s="12" cm="1">
        <f t="array" ref="AB22">[1]!s_dq_close(AB$6,$A22,1)</f>
        <v>2922</v>
      </c>
      <c r="AC22" s="12" cm="1">
        <f t="array" ref="AC22">[1]!s_dq_close(AC$6,$A22,1)</f>
        <v>3050.57</v>
      </c>
      <c r="AD22" s="12" cm="1">
        <f t="array" ref="AD22">[1]!s_dq_close(AD$6,$A22,1)</f>
        <v>3103</v>
      </c>
      <c r="AE22" s="12" cm="1">
        <f t="array" ref="AE22">[1]!s_dq_close(AE$6,$A22,1)</f>
        <v>3285</v>
      </c>
      <c r="AF22" s="12" cm="1">
        <f t="array" ref="AF22">[1]!s_dq_close(AF$6,$A22,1)</f>
        <v>795</v>
      </c>
      <c r="AG22" s="12">
        <f>[1]!s_dq_close($AG$6,$A22)</f>
        <v>-1270</v>
      </c>
      <c r="AH22" s="11">
        <f>[1]!s_dq_close($AH$6,A22)</f>
        <v>7.1478000000000002</v>
      </c>
    </row>
    <row r="23" spans="1:34">
      <c r="A23" s="5">
        <v>45935</v>
      </c>
      <c r="B23" s="6">
        <v>1.8605</v>
      </c>
      <c r="C23" s="6">
        <v>2.0371999999999999</v>
      </c>
      <c r="D23" s="6">
        <v>1.9028</v>
      </c>
      <c r="E23" s="6">
        <v>4.13</v>
      </c>
      <c r="F23" s="6">
        <v>1.6002000000000001</v>
      </c>
      <c r="G23" s="6">
        <v>1.7742</v>
      </c>
      <c r="H23" s="6">
        <v>3.64</v>
      </c>
      <c r="I23" s="6">
        <v>1.4934000000000001</v>
      </c>
      <c r="J23" s="10">
        <v>1.8</v>
      </c>
      <c r="K23" s="10">
        <v>188.9</v>
      </c>
      <c r="L23" s="10"/>
      <c r="M23" s="1" cm="1">
        <f t="array" ref="M23">[1]!s_val_pe_ttm(M$6,$A23)</f>
        <v>16.624200820922901</v>
      </c>
      <c r="N23" s="1" cm="1">
        <f t="array" ref="N23">[1]!s_val_pe_ttm(N$6,$A23)</f>
        <v>29.799200057983398</v>
      </c>
      <c r="O23" s="1" cm="1">
        <f t="array" ref="O23">[1]!s_val_pb_lf(O$6,$A23)</f>
        <v>1.49160003662109</v>
      </c>
      <c r="P23" s="1" cm="1">
        <f t="array" ref="P23">[1]!s_val_pb_lf(P$6,$A23)</f>
        <v>5.52120018005371</v>
      </c>
      <c r="Q23" s="1">
        <f>[1]!cb_anal_convpremiumratio($Q$6,A23-2)</f>
        <v>0</v>
      </c>
      <c r="S23" s="1">
        <f>[1]!cb_anal_straightbondpremiumratio($S$6,A23-3)</f>
        <v>0</v>
      </c>
      <c r="T23" s="9" cm="1">
        <f t="array" ref="T23">[1]!s_dq_close(T$6,$A23,1)</f>
        <v>16.649999999999999</v>
      </c>
      <c r="U23" s="9" cm="1">
        <f t="array" ref="U23">[1]!s_dq_close(U$6,$A23,1)</f>
        <v>7.1185999999999998</v>
      </c>
      <c r="V23" s="9" cm="1">
        <f t="array" ref="V23">[1]!s_dq_close(V$6,$A23,1)</f>
        <v>97.722899999999996</v>
      </c>
      <c r="W23" s="11" cm="1">
        <f t="array" ref="W23">[1]!s_dq_close(W$6,$A23,1)</f>
        <v>874.4</v>
      </c>
      <c r="X23" s="11" cm="1">
        <f t="array" ref="X23">[1]!s_dq_close(X$6,$A23,1)</f>
        <v>3912.1</v>
      </c>
      <c r="Y23" s="11" cm="1">
        <f t="array" ref="Y23">[1]!s_dq_close(Y$6,$A23,1)</f>
        <v>60.69</v>
      </c>
      <c r="Z23" s="11" cm="1">
        <f t="array" ref="Z23">[1]!s_dq_close(Z$6,$A23,1)</f>
        <v>64.36</v>
      </c>
      <c r="AA23" s="12" cm="1">
        <f t="array" ref="AA23">[1]!s_dq_oi(AA$6,$A23)</f>
        <v>1864639</v>
      </c>
      <c r="AB23" s="12" cm="1">
        <f t="array" ref="AB23">[1]!s_dq_close(AB$6,$A23,1)</f>
        <v>2928</v>
      </c>
      <c r="AC23" s="12" cm="1">
        <f t="array" ref="AC23">[1]!s_dq_close(AC$6,$A23,1)</f>
        <v>3018.57</v>
      </c>
      <c r="AD23" s="12" cm="1">
        <f t="array" ref="AD23">[1]!s_dq_close(AD$6,$A23,1)</f>
        <v>3072</v>
      </c>
      <c r="AE23" s="12" cm="1">
        <f t="array" ref="AE23">[1]!s_dq_close(AE$6,$A23,1)</f>
        <v>3253</v>
      </c>
      <c r="AF23" s="12" cm="1">
        <f t="array" ref="AF23">[1]!s_dq_close(AF$6,$A23,1)</f>
        <v>780.5</v>
      </c>
      <c r="AG23" s="12">
        <f>[1]!s_dq_close($AG$6,$A23)</f>
        <v>-1318.51</v>
      </c>
      <c r="AH23" s="11">
        <f>[1]!s_dq_close($AH$6,A23)</f>
        <v>7.1360000000000001</v>
      </c>
    </row>
    <row r="24" spans="1:34">
      <c r="A24" s="5">
        <v>45928</v>
      </c>
      <c r="B24" s="6">
        <v>1.8781000000000001</v>
      </c>
      <c r="C24" s="6">
        <v>2.0419999999999998</v>
      </c>
      <c r="D24" s="6">
        <v>1.9278</v>
      </c>
      <c r="E24" s="6">
        <v>4.2</v>
      </c>
      <c r="F24" s="6">
        <v>1.6232</v>
      </c>
      <c r="G24" s="6">
        <v>1.7970999999999999</v>
      </c>
      <c r="H24" s="6">
        <v>3.67</v>
      </c>
      <c r="I24" s="6">
        <v>1.5038</v>
      </c>
      <c r="J24" s="10">
        <v>1.82</v>
      </c>
      <c r="K24" s="10">
        <v>0</v>
      </c>
      <c r="L24" s="10"/>
      <c r="M24" s="1" cm="1">
        <f t="array" ref="M24">[1]!s_val_pe_ttm(M$6,$A24)</f>
        <v>16.412000656127901</v>
      </c>
      <c r="N24" s="1" cm="1">
        <f t="array" ref="N24">[1]!s_val_pe_ttm(N$6,$A24)</f>
        <v>29.524000167846701</v>
      </c>
      <c r="O24" s="1" cm="1">
        <f t="array" ref="O24">[1]!s_val_pb_lf(O$6,$A24)</f>
        <v>1.4724999666214</v>
      </c>
      <c r="P24" s="1" cm="1">
        <f t="array" ref="P24">[1]!s_val_pb_lf(P$6,$A24)</f>
        <v>5.4819998741149902</v>
      </c>
      <c r="Q24" s="1">
        <f>[1]!cb_anal_convpremiumratio($Q$6,A24-2)</f>
        <v>41.130135679611598</v>
      </c>
      <c r="S24" s="1">
        <f>[1]!cb_anal_straightbondpremiumratio($S$6,A24-3)</f>
        <v>0</v>
      </c>
      <c r="T24" s="9" cm="1">
        <f t="array" ref="T24">[1]!s_dq_close(T$6,$A24,1)</f>
        <v>15.29</v>
      </c>
      <c r="U24" s="9" cm="1">
        <f t="array" ref="U24">[1]!s_dq_close(U$6,$A24,1)</f>
        <v>7.1345000000000001</v>
      </c>
      <c r="V24" s="9" cm="1">
        <f t="array" ref="V24">[1]!s_dq_close(V$6,$A24,1)</f>
        <v>98.192599999999999</v>
      </c>
      <c r="W24" s="11" cm="1">
        <f t="array" ref="W24">[1]!s_dq_close(W$6,$A24,1)</f>
        <v>856.06</v>
      </c>
      <c r="X24" s="11" cm="1">
        <f t="array" ref="X24">[1]!s_dq_close(X$6,$A24,1)</f>
        <v>3789.8</v>
      </c>
      <c r="Y24" s="11" cm="1">
        <f t="array" ref="Y24">[1]!s_dq_close(Y$6,$A24,1)</f>
        <v>65.19</v>
      </c>
      <c r="Z24" s="11" cm="1">
        <f t="array" ref="Z24">[1]!s_dq_close(Z$6,$A24,1)</f>
        <v>68.819999999999993</v>
      </c>
      <c r="AA24" s="12" cm="1">
        <f t="array" ref="AA24">[1]!s_dq_oi(AA$6,$A24)</f>
        <v>1986148</v>
      </c>
      <c r="AB24" s="12" cm="1">
        <f t="array" ref="AB24">[1]!s_dq_close(AB$6,$A24,1)</f>
        <v>2937</v>
      </c>
      <c r="AC24" s="12" cm="1">
        <f t="array" ref="AC24">[1]!s_dq_close(AC$6,$A24,1)</f>
        <v>3016.29</v>
      </c>
      <c r="AD24" s="12" cm="1">
        <f t="array" ref="AD24">[1]!s_dq_close(AD$6,$A24,1)</f>
        <v>3114</v>
      </c>
      <c r="AE24" s="12" cm="1">
        <f t="array" ref="AE24">[1]!s_dq_close(AE$6,$A24,1)</f>
        <v>3313</v>
      </c>
      <c r="AF24" s="12" cm="1">
        <f t="array" ref="AF24">[1]!s_dq_close(AF$6,$A24,1)</f>
        <v>790</v>
      </c>
      <c r="AG24" s="12">
        <f>[1]!s_dq_close($AG$6,$A24)</f>
        <v>-1329</v>
      </c>
      <c r="AH24" s="11">
        <f>[1]!s_dq_close($AH$6,A24)</f>
        <v>7.1413000000000002</v>
      </c>
    </row>
    <row r="25" spans="1:34">
      <c r="A25" s="5">
        <v>45921</v>
      </c>
      <c r="B25" s="6">
        <v>1.8789</v>
      </c>
      <c r="C25" s="6">
        <v>2.0268000000000002</v>
      </c>
      <c r="D25" s="6">
        <v>1.8648</v>
      </c>
      <c r="E25" s="6">
        <v>4.1399999999999997</v>
      </c>
      <c r="F25" s="6">
        <v>1.6264000000000001</v>
      </c>
      <c r="G25" s="6">
        <v>1.7604</v>
      </c>
      <c r="H25" s="6">
        <v>3.6</v>
      </c>
      <c r="I25" s="6">
        <v>1.4859</v>
      </c>
      <c r="J25" s="10">
        <v>1.75</v>
      </c>
      <c r="K25" s="10">
        <v>207.3</v>
      </c>
      <c r="L25" s="10"/>
      <c r="M25" s="1" cm="1">
        <f t="array" ref="M25">[1]!s_val_pe_ttm(M$6,$A25)</f>
        <v>16.365800857543899</v>
      </c>
      <c r="N25" s="1" cm="1">
        <f t="array" ref="N25">[1]!s_val_pe_ttm(N$6,$A25)</f>
        <v>29.5118007659912</v>
      </c>
      <c r="O25" s="1" cm="1">
        <f t="array" ref="O25">[1]!s_val_pb_lf(O$6,$A25)</f>
        <v>1.46800005435944</v>
      </c>
      <c r="P25" s="1" cm="1">
        <f t="array" ref="P25">[1]!s_val_pb_lf(P$6,$A25)</f>
        <v>5.4881000518798801</v>
      </c>
      <c r="Q25" s="1">
        <f>[1]!cb_anal_convpremiumratio($Q$6,A25-2)</f>
        <v>39.770922409638601</v>
      </c>
      <c r="S25" s="1">
        <f>[1]!cb_anal_straightbondpremiumratio($S$6,A25-3)</f>
        <v>0</v>
      </c>
      <c r="T25" s="9" cm="1">
        <f t="array" ref="T25">[1]!s_dq_close(T$6,$A25,1)</f>
        <v>15.45</v>
      </c>
      <c r="U25" s="9" cm="1">
        <f t="array" ref="U25">[1]!s_dq_close(U$6,$A25,1)</f>
        <v>7.1124999999999998</v>
      </c>
      <c r="V25" s="9" cm="1">
        <f t="array" ref="V25">[1]!s_dq_close(V$6,$A25,1)</f>
        <v>97.651899999999998</v>
      </c>
      <c r="W25" s="11" cm="1">
        <f t="array" ref="W25">[1]!s_dq_close(W$6,$A25,1)</f>
        <v>830.56</v>
      </c>
      <c r="X25" s="11" cm="1">
        <f t="array" ref="X25">[1]!s_dq_close(X$6,$A25,1)</f>
        <v>3719.4</v>
      </c>
      <c r="Y25" s="11" cm="1">
        <f t="array" ref="Y25">[1]!s_dq_close(Y$6,$A25,1)</f>
        <v>62.36</v>
      </c>
      <c r="Z25" s="11" cm="1">
        <f t="array" ref="Z25">[1]!s_dq_close(Z$6,$A25,1)</f>
        <v>66.05</v>
      </c>
      <c r="AA25" s="12" cm="1">
        <f t="array" ref="AA25">[1]!s_dq_oi(AA$6,$A25)</f>
        <v>2020535</v>
      </c>
      <c r="AB25" s="12" cm="1">
        <f t="array" ref="AB25">[1]!s_dq_close(AB$6,$A25,1)</f>
        <v>3014</v>
      </c>
      <c r="AC25" s="12" cm="1">
        <f t="array" ref="AC25">[1]!s_dq_close(AC$6,$A25,1)</f>
        <v>3031.71</v>
      </c>
      <c r="AD25" s="12" cm="1">
        <f t="array" ref="AD25">[1]!s_dq_close(AD$6,$A25,1)</f>
        <v>3172</v>
      </c>
      <c r="AE25" s="12" cm="1">
        <f t="array" ref="AE25">[1]!s_dq_close(AE$6,$A25,1)</f>
        <v>3374</v>
      </c>
      <c r="AF25" s="12" cm="1">
        <f t="array" ref="AF25">[1]!s_dq_close(AF$6,$A25,1)</f>
        <v>807.5</v>
      </c>
      <c r="AG25" s="12">
        <f>[1]!s_dq_close($AG$6,$A25)</f>
        <v>-1315</v>
      </c>
      <c r="AH25" s="11">
        <f>[1]!s_dq_close($AH$6,A25)</f>
        <v>7.1196000000000002</v>
      </c>
    </row>
    <row r="26" spans="1:34">
      <c r="A26" s="5">
        <v>45914</v>
      </c>
      <c r="B26" s="6">
        <v>1.867</v>
      </c>
      <c r="C26" s="6">
        <v>2.0284</v>
      </c>
      <c r="D26" s="6">
        <v>1.8496999999999999</v>
      </c>
      <c r="E26" s="6">
        <v>4.0599999999999996</v>
      </c>
      <c r="F26" s="6">
        <v>1.5780000000000001</v>
      </c>
      <c r="G26" s="6">
        <v>1.7436</v>
      </c>
      <c r="H26" s="6">
        <v>3.66</v>
      </c>
      <c r="I26" s="6">
        <v>1.4295</v>
      </c>
      <c r="J26" s="10">
        <v>1.7</v>
      </c>
      <c r="K26" s="10">
        <v>208.7</v>
      </c>
      <c r="L26" s="10"/>
      <c r="M26" s="1" cm="1">
        <f t="array" ref="M26">[1]!s_val_pe_ttm(M$6,$A26)</f>
        <v>16.5914001464844</v>
      </c>
      <c r="N26" s="1" cm="1">
        <f t="array" ref="N26">[1]!s_val_pe_ttm(N$6,$A26)</f>
        <v>29.071599960327099</v>
      </c>
      <c r="O26" s="1" cm="1">
        <f t="array" ref="O26">[1]!s_val_pb_lf(O$6,$A26)</f>
        <v>1.4898999929428101</v>
      </c>
      <c r="P26" s="1" cm="1">
        <f t="array" ref="P26">[1]!s_val_pb_lf(P$6,$A26)</f>
        <v>5.4045000076293901</v>
      </c>
      <c r="Q26" s="1">
        <f>[1]!cb_anal_convpremiumratio($Q$6,A26-2)</f>
        <v>40.355307894736796</v>
      </c>
      <c r="S26" s="1">
        <f>[1]!cb_anal_straightbondpremiumratio($S$6,A26-3)</f>
        <v>0</v>
      </c>
      <c r="T26" s="9" cm="1">
        <f t="array" ref="T26">[1]!s_dq_close(T$6,$A26,1)</f>
        <v>14.76</v>
      </c>
      <c r="U26" s="9" cm="1">
        <f t="array" ref="U26">[1]!s_dq_close(U$6,$A26,1)</f>
        <v>7.1223999999999998</v>
      </c>
      <c r="V26" s="9" cm="1">
        <f t="array" ref="V26">[1]!s_dq_close(V$6,$A26,1)</f>
        <v>97.617800000000003</v>
      </c>
      <c r="W26" s="11" cm="1">
        <f t="array" ref="W26">[1]!s_dq_close(W$6,$A26,1)</f>
        <v>834.22</v>
      </c>
      <c r="X26" s="11" cm="1">
        <f t="array" ref="X26">[1]!s_dq_close(X$6,$A26,1)</f>
        <v>3680.7</v>
      </c>
      <c r="Y26" s="11" cm="1">
        <f t="array" ref="Y26">[1]!s_dq_close(Y$6,$A26,1)</f>
        <v>62.6</v>
      </c>
      <c r="Z26" s="11" cm="1">
        <f t="array" ref="Z26">[1]!s_dq_close(Z$6,$A26,1)</f>
        <v>66.88</v>
      </c>
      <c r="AA26" s="12" cm="1">
        <f t="array" ref="AA26">[1]!s_dq_oi(AA$6,$A26)</f>
        <v>1986206</v>
      </c>
      <c r="AB26" s="12" cm="1">
        <f t="array" ref="AB26">[1]!s_dq_close(AB$6,$A26,1)</f>
        <v>3079</v>
      </c>
      <c r="AC26" s="12" cm="1">
        <f t="array" ref="AC26">[1]!s_dq_close(AC$6,$A26,1)</f>
        <v>3079.43</v>
      </c>
      <c r="AD26" s="12" cm="1">
        <f t="array" ref="AD26">[1]!s_dq_close(AD$6,$A26,1)</f>
        <v>3127</v>
      </c>
      <c r="AE26" s="12" cm="1">
        <f t="array" ref="AE26">[1]!s_dq_close(AE$6,$A26,1)</f>
        <v>3364</v>
      </c>
      <c r="AF26" s="12" cm="1">
        <f t="array" ref="AF26">[1]!s_dq_close(AF$6,$A26,1)</f>
        <v>799.5</v>
      </c>
      <c r="AG26" s="12">
        <f>[1]!s_dq_close($AG$6,$A26)</f>
        <v>-1456</v>
      </c>
      <c r="AH26" s="11">
        <f>[1]!s_dq_close($AH$6,A26)</f>
        <v>7.1237000000000004</v>
      </c>
    </row>
    <row r="27" spans="1:34">
      <c r="A27" s="5">
        <v>45907</v>
      </c>
      <c r="B27" s="6">
        <v>1.8260000000000001</v>
      </c>
      <c r="C27" s="6">
        <v>1.8731</v>
      </c>
      <c r="D27" s="6">
        <v>1.8019000000000001</v>
      </c>
      <c r="E27" s="6">
        <v>4.0999999999999996</v>
      </c>
      <c r="F27" s="6">
        <v>1.5415000000000001</v>
      </c>
      <c r="G27" s="6">
        <v>1.7052</v>
      </c>
      <c r="H27" s="6">
        <v>3.65</v>
      </c>
      <c r="I27" s="6">
        <v>1.4080999999999999</v>
      </c>
      <c r="J27" s="10">
        <v>1.73</v>
      </c>
      <c r="K27" s="10">
        <v>0</v>
      </c>
      <c r="L27" s="10"/>
      <c r="M27" s="1" cm="1">
        <f t="array" ref="M27">[1]!s_val_pe_ttm(M$6,$A27)</f>
        <v>16.342800140380898</v>
      </c>
      <c r="N27" s="1" cm="1">
        <f t="array" ref="N27">[1]!s_val_pe_ttm(N$6,$A27)</f>
        <v>28.529100418090799</v>
      </c>
      <c r="O27" s="1" cm="1">
        <f t="array" ref="O27">[1]!s_val_pb_lf(O$6,$A27)</f>
        <v>1.4671000242233301</v>
      </c>
      <c r="P27" s="1" cm="1">
        <f t="array" ref="P27">[1]!s_val_pb_lf(P$6,$A27)</f>
        <v>5.3138999938964799</v>
      </c>
      <c r="Q27" s="1">
        <f>[1]!cb_anal_convpremiumratio($Q$6,A27-2)</f>
        <v>41.263473049645398</v>
      </c>
      <c r="S27" s="1">
        <f>[1]!cb_anal_straightbondpremiumratio($S$6,A27-3)</f>
        <v>0</v>
      </c>
      <c r="T27" s="9" cm="1">
        <f t="array" ref="T27">[1]!s_dq_close(T$6,$A27,1)</f>
        <v>15.18</v>
      </c>
      <c r="U27" s="9" cm="1">
        <f t="array" ref="U27">[1]!s_dq_close(U$6,$A27,1)</f>
        <v>7.1378000000000004</v>
      </c>
      <c r="V27" s="9" cm="1">
        <f t="array" ref="V27">[1]!s_dq_close(V$6,$A27,1)</f>
        <v>97.735699999999994</v>
      </c>
      <c r="W27" s="11" cm="1">
        <f t="array" ref="W27">[1]!s_dq_close(W$6,$A27,1)</f>
        <v>815.6</v>
      </c>
      <c r="X27" s="11" cm="1">
        <f t="array" ref="X27">[1]!s_dq_close(X$6,$A27,1)</f>
        <v>3639.8</v>
      </c>
      <c r="Y27" s="11" cm="1">
        <f t="array" ref="Y27">[1]!s_dq_close(Y$6,$A27,1)</f>
        <v>61.97</v>
      </c>
      <c r="Z27" s="11" cm="1">
        <f t="array" ref="Z27">[1]!s_dq_close(Z$6,$A27,1)</f>
        <v>65.67</v>
      </c>
      <c r="AA27" s="12" cm="1">
        <f t="array" ref="AA27">[1]!s_dq_oi(AA$6,$A27)</f>
        <v>1996647</v>
      </c>
      <c r="AB27" s="12" cm="1">
        <f t="array" ref="AB27">[1]!s_dq_close(AB$6,$A27,1)</f>
        <v>3067</v>
      </c>
      <c r="AC27" s="12" cm="1">
        <f t="array" ref="AC27">[1]!s_dq_close(AC$6,$A27,1)</f>
        <v>3072.57</v>
      </c>
      <c r="AD27" s="12" cm="1">
        <f t="array" ref="AD27">[1]!s_dq_close(AD$6,$A27,1)</f>
        <v>3143</v>
      </c>
      <c r="AE27" s="12" cm="1">
        <f t="array" ref="AE27">[1]!s_dq_close(AE$6,$A27,1)</f>
        <v>3340</v>
      </c>
      <c r="AF27" s="12" cm="1">
        <f t="array" ref="AF27">[1]!s_dq_close(AF$6,$A27,1)</f>
        <v>789.5</v>
      </c>
      <c r="AG27" s="12">
        <f>[1]!s_dq_close($AG$6,$A27)</f>
        <v>-1553</v>
      </c>
      <c r="AH27" s="11">
        <f>[1]!s_dq_close($AH$6,A27)</f>
        <v>7.1262999999999996</v>
      </c>
    </row>
    <row r="28" spans="1:34">
      <c r="A28" s="5">
        <v>45900</v>
      </c>
      <c r="B28" s="6">
        <v>1.8379000000000001</v>
      </c>
      <c r="C28" s="6">
        <v>1.8755999999999999</v>
      </c>
      <c r="D28" s="6">
        <v>1.8243</v>
      </c>
      <c r="E28" s="6">
        <v>4.2300000000000004</v>
      </c>
      <c r="F28" s="6">
        <v>1.5346</v>
      </c>
      <c r="G28" s="6">
        <v>1.6940999999999999</v>
      </c>
      <c r="H28" s="6">
        <v>3.83</v>
      </c>
      <c r="I28" s="6">
        <v>1.4041999999999999</v>
      </c>
      <c r="J28" s="10">
        <v>1.82</v>
      </c>
      <c r="K28" s="10">
        <v>194.7</v>
      </c>
      <c r="L28" s="10"/>
      <c r="M28" s="1" cm="1">
        <f t="array" ref="M28">[1]!s_val_pe_ttm(M$6,$A28)</f>
        <v>16.533500671386701</v>
      </c>
      <c r="N28" s="1" cm="1">
        <f t="array" ref="N28">[1]!s_val_pe_ttm(N$6,$A28)</f>
        <v>28.378200531005898</v>
      </c>
      <c r="O28" s="1" cm="1">
        <f t="array" ref="O28">[1]!s_val_pb_lf(O$6,$A28)</f>
        <v>1.4888000488281199</v>
      </c>
      <c r="P28" s="1" cm="1">
        <f t="array" ref="P28">[1]!s_val_pb_lf(P$6,$A28)</f>
        <v>5.2726001739501998</v>
      </c>
      <c r="Q28" s="1">
        <f>[1]!cb_anal_convpremiumratio($Q$6,A28-2)</f>
        <v>38.920976869158899</v>
      </c>
      <c r="S28" s="1">
        <f>[1]!cb_anal_straightbondpremiumratio($S$6,A28-3)</f>
        <v>0</v>
      </c>
      <c r="T28" s="9" cm="1">
        <f t="array" ref="T28">[1]!s_dq_close(T$6,$A28,1)</f>
        <v>15.36</v>
      </c>
      <c r="U28" s="9" cm="1">
        <f t="array" ref="U28">[1]!s_dq_close(U$6,$A28,1)</f>
        <v>7.133</v>
      </c>
      <c r="V28" s="9" cm="1">
        <f t="array" ref="V28">[1]!s_dq_close(V$6,$A28,1)</f>
        <v>97.847700000000003</v>
      </c>
      <c r="W28" s="11" cm="1">
        <f t="array" ref="W28">[1]!s_dq_close(W$6,$A28,1)</f>
        <v>785.12</v>
      </c>
      <c r="X28" s="11" cm="1">
        <f t="array" ref="X28">[1]!s_dq_close(X$6,$A28,1)</f>
        <v>3516.1</v>
      </c>
      <c r="Y28" s="11" cm="1">
        <f t="array" ref="Y28">[1]!s_dq_close(Y$6,$A28,1)</f>
        <v>64.010000000000005</v>
      </c>
      <c r="Z28" s="11" cm="1">
        <f t="array" ref="Z28">[1]!s_dq_close(Z$6,$A28,1)</f>
        <v>67.459999999999994</v>
      </c>
      <c r="AA28" s="12" cm="1">
        <f t="array" ref="AA28">[1]!s_dq_oi(AA$6,$A28)</f>
        <v>2030073</v>
      </c>
      <c r="AB28" s="12" cm="1">
        <f t="array" ref="AB28">[1]!s_dq_close(AB$6,$A28,1)</f>
        <v>3055</v>
      </c>
      <c r="AC28" s="12" cm="1">
        <f t="array" ref="AC28">[1]!s_dq_close(AC$6,$A28,1)</f>
        <v>3071.14</v>
      </c>
      <c r="AD28" s="12" cm="1">
        <f t="array" ref="AD28">[1]!s_dq_close(AD$6,$A28,1)</f>
        <v>3090</v>
      </c>
      <c r="AE28" s="12" cm="1">
        <f t="array" ref="AE28">[1]!s_dq_close(AE$6,$A28,1)</f>
        <v>3346</v>
      </c>
      <c r="AF28" s="12" cm="1">
        <f t="array" ref="AF28">[1]!s_dq_close(AF$6,$A28,1)</f>
        <v>787.5</v>
      </c>
      <c r="AG28" s="12">
        <f>[1]!s_dq_close($AG$6,$A28)</f>
        <v>-1582</v>
      </c>
      <c r="AH28" s="11">
        <f>[1]!s_dq_close($AH$6,A28)</f>
        <v>7.1220999999999997</v>
      </c>
    </row>
    <row r="29" spans="1:34">
      <c r="A29" s="5">
        <v>45893</v>
      </c>
      <c r="B29" s="6">
        <v>1.7818000000000001</v>
      </c>
      <c r="C29" s="6">
        <v>1.8781000000000001</v>
      </c>
      <c r="D29" s="6">
        <v>1.8654999999999999</v>
      </c>
      <c r="E29" s="6">
        <v>4.26</v>
      </c>
      <c r="F29" s="6">
        <v>1.5654999999999999</v>
      </c>
      <c r="G29" s="6">
        <v>1.738</v>
      </c>
      <c r="H29" s="6">
        <v>3.87</v>
      </c>
      <c r="I29" s="6">
        <v>1.4340999999999999</v>
      </c>
      <c r="J29" s="10">
        <v>1.85</v>
      </c>
      <c r="K29" s="10">
        <v>211.5</v>
      </c>
      <c r="L29" s="10"/>
      <c r="M29" s="1" cm="1">
        <f t="array" ref="M29">[1]!s_val_pe_ttm(M$6,$A29)</f>
        <v>16.405799865722699</v>
      </c>
      <c r="N29" s="1" cm="1">
        <f t="array" ref="N29">[1]!s_val_pe_ttm(N$6,$A29)</f>
        <v>28.589899063110401</v>
      </c>
      <c r="O29" s="1" cm="1">
        <f t="array" ref="O29">[1]!s_val_pb_lf(O$6,$A29)</f>
        <v>1.49460005760193</v>
      </c>
      <c r="P29" s="1" cm="1">
        <f t="array" ref="P29">[1]!s_val_pb_lf(P$6,$A29)</f>
        <v>5.2765998840331996</v>
      </c>
      <c r="Q29" s="1">
        <f>[1]!cb_anal_convpremiumratio($Q$6,A29-2)</f>
        <v>42.509029587156</v>
      </c>
      <c r="S29" s="1">
        <f>[1]!cb_anal_straightbondpremiumratio($S$6,A29-3)</f>
        <v>0</v>
      </c>
      <c r="T29" s="9" cm="1">
        <f t="array" ref="T29">[1]!s_dq_close(T$6,$A29,1)</f>
        <v>14.22</v>
      </c>
      <c r="U29" s="9" cm="1">
        <f t="array" ref="U29">[1]!s_dq_close(U$6,$A29,1)</f>
        <v>7.1805000000000003</v>
      </c>
      <c r="V29" s="9" cm="1">
        <f t="array" ref="V29">[1]!s_dq_close(V$6,$A29,1)</f>
        <v>97.724400000000003</v>
      </c>
      <c r="W29" s="11" cm="1">
        <f t="array" ref="W29">[1]!s_dq_close(W$6,$A29,1)</f>
        <v>773.4</v>
      </c>
      <c r="X29" s="11" cm="1">
        <f t="array" ref="X29">[1]!s_dq_close(X$6,$A29,1)</f>
        <v>3417.2</v>
      </c>
      <c r="Y29" s="11" cm="1">
        <f t="array" ref="Y29">[1]!s_dq_close(Y$6,$A29,1)</f>
        <v>63.77</v>
      </c>
      <c r="Z29" s="11" cm="1">
        <f t="array" ref="Z29">[1]!s_dq_close(Z$6,$A29,1)</f>
        <v>67.260000000000005</v>
      </c>
      <c r="AA29" s="12" cm="1">
        <f t="array" ref="AA29">[1]!s_dq_oi(AA$6,$A29)</f>
        <v>2000115</v>
      </c>
      <c r="AB29" s="12" cm="1">
        <f t="array" ref="AB29">[1]!s_dq_close(AB$6,$A29,1)</f>
        <v>3088</v>
      </c>
      <c r="AC29" s="12" cm="1">
        <f t="array" ref="AC29">[1]!s_dq_close(AC$6,$A29,1)</f>
        <v>3084.29</v>
      </c>
      <c r="AD29" s="12" cm="1">
        <f t="array" ref="AD29">[1]!s_dq_close(AD$6,$A29,1)</f>
        <v>3119</v>
      </c>
      <c r="AE29" s="12" cm="1">
        <f t="array" ref="AE29">[1]!s_dq_close(AE$6,$A29,1)</f>
        <v>3361</v>
      </c>
      <c r="AF29" s="12" cm="1">
        <f t="array" ref="AF29">[1]!s_dq_close(AF$6,$A29,1)</f>
        <v>770</v>
      </c>
      <c r="AG29" s="12">
        <f>[1]!s_dq_close($AG$6,$A29)</f>
        <v>-1692</v>
      </c>
      <c r="AH29" s="11">
        <f>[1]!s_dq_close($AH$6,A29)</f>
        <v>7.1711999999999998</v>
      </c>
    </row>
    <row r="30" spans="1:34">
      <c r="A30" s="5">
        <v>45886</v>
      </c>
      <c r="B30" s="6">
        <v>1.7464999999999999</v>
      </c>
      <c r="C30" s="6">
        <v>1.8557999999999999</v>
      </c>
      <c r="D30" s="6">
        <v>1.7994000000000001</v>
      </c>
      <c r="E30" s="6">
        <v>4.33</v>
      </c>
      <c r="F30" s="6">
        <v>1.5258</v>
      </c>
      <c r="G30" s="6">
        <v>1.6894</v>
      </c>
      <c r="H30" s="6">
        <v>3.93</v>
      </c>
      <c r="I30" s="6">
        <v>1.4020999999999999</v>
      </c>
      <c r="J30" s="10">
        <v>1.95</v>
      </c>
      <c r="K30" s="10">
        <v>0</v>
      </c>
      <c r="L30" s="10"/>
      <c r="M30" s="1" cm="1">
        <f t="array" ref="M30">[1]!s_val_pe_ttm(M$6,$A30)</f>
        <v>15.8725996017456</v>
      </c>
      <c r="N30" s="1" cm="1">
        <f t="array" ref="N30">[1]!s_val_pe_ttm(N$6,$A30)</f>
        <v>28.557300567626999</v>
      </c>
      <c r="O30" s="1" cm="1">
        <f t="array" ref="O30">[1]!s_val_pb_lf(O$6,$A30)</f>
        <v>1.4491000175476101</v>
      </c>
      <c r="P30" s="1" cm="1">
        <f t="array" ref="P30">[1]!s_val_pb_lf(P$6,$A30)</f>
        <v>5.2695999145507804</v>
      </c>
      <c r="Q30" s="1">
        <f>[1]!cb_anal_convpremiumratio($Q$6,A30-2)</f>
        <v>41.567718099547498</v>
      </c>
      <c r="S30" s="1">
        <f>[1]!cb_anal_straightbondpremiumratio($S$6,A30-3)</f>
        <v>0</v>
      </c>
      <c r="T30" s="9" cm="1">
        <f t="array" ref="T30">[1]!s_dq_close(T$6,$A30,1)</f>
        <v>15.09</v>
      </c>
      <c r="U30" s="9" cm="1">
        <f t="array" ref="U30">[1]!s_dq_close(U$6,$A30,1)</f>
        <v>7.1822999999999997</v>
      </c>
      <c r="V30" s="9" cm="1">
        <f t="array" ref="V30">[1]!s_dq_close(V$6,$A30,1)</f>
        <v>97.846699999999998</v>
      </c>
      <c r="W30" s="11" cm="1">
        <f t="array" ref="W30">[1]!s_dq_close(W$6,$A30,1)</f>
        <v>775.8</v>
      </c>
      <c r="X30" s="11" cm="1">
        <f t="array" ref="X30">[1]!s_dq_close(X$6,$A30,1)</f>
        <v>3381.7</v>
      </c>
      <c r="Y30" s="11" cm="1">
        <f t="array" ref="Y30">[1]!s_dq_close(Y$6,$A30,1)</f>
        <v>63.14</v>
      </c>
      <c r="Z30" s="11" cm="1">
        <f t="array" ref="Z30">[1]!s_dq_close(Z$6,$A30,1)</f>
        <v>66.13</v>
      </c>
      <c r="AA30" s="12" cm="1">
        <f t="array" ref="AA30">[1]!s_dq_oi(AA$6,$A30)</f>
        <v>2015132</v>
      </c>
      <c r="AB30" s="12" cm="1">
        <f t="array" ref="AB30">[1]!s_dq_close(AB$6,$A30,1)</f>
        <v>3137</v>
      </c>
      <c r="AC30" s="12" cm="1">
        <f t="array" ref="AC30">[1]!s_dq_close(AC$6,$A30,1)</f>
        <v>3096.86</v>
      </c>
      <c r="AD30" s="12" cm="1">
        <f t="array" ref="AD30">[1]!s_dq_close(AD$6,$A30,1)</f>
        <v>3188</v>
      </c>
      <c r="AE30" s="12" cm="1">
        <f t="array" ref="AE30">[1]!s_dq_close(AE$6,$A30,1)</f>
        <v>3439</v>
      </c>
      <c r="AF30" s="12" cm="1">
        <f t="array" ref="AF30">[1]!s_dq_close(AF$6,$A30,1)</f>
        <v>776</v>
      </c>
      <c r="AG30" s="12">
        <f>[1]!s_dq_close($AG$6,$A30)</f>
        <v>-1696</v>
      </c>
      <c r="AH30" s="11">
        <f>[1]!s_dq_close($AH$6,A30)</f>
        <v>7.1890999999999998</v>
      </c>
    </row>
    <row r="31" spans="1:34">
      <c r="A31" s="5">
        <v>45879</v>
      </c>
      <c r="B31" s="6">
        <v>1.6891</v>
      </c>
      <c r="C31" s="6">
        <v>1.7783</v>
      </c>
      <c r="D31" s="6">
        <v>1.7637</v>
      </c>
      <c r="E31" s="6">
        <v>4.2699999999999996</v>
      </c>
      <c r="F31" s="6">
        <v>1.4951000000000001</v>
      </c>
      <c r="G31" s="6">
        <v>1.6701999999999999</v>
      </c>
      <c r="H31" s="6">
        <v>3.93</v>
      </c>
      <c r="I31" s="6">
        <v>1.3956</v>
      </c>
      <c r="J31" s="10">
        <v>1.88</v>
      </c>
      <c r="K31" s="10">
        <v>207.4</v>
      </c>
      <c r="L31" s="10"/>
      <c r="M31" s="1" cm="1">
        <f t="array" ref="M31">[1]!s_val_pe_ttm(M$6,$A31)</f>
        <v>15.6884002685547</v>
      </c>
      <c r="N31" s="1" cm="1">
        <f t="array" ref="N31">[1]!s_val_pe_ttm(N$6,$A31)</f>
        <v>28.210100173950199</v>
      </c>
      <c r="O31" s="1" cm="1">
        <f t="array" ref="O31">[1]!s_val_pb_lf(O$6,$A31)</f>
        <v>1.4229999780654901</v>
      </c>
      <c r="P31" s="1" cm="1">
        <f t="array" ref="P31">[1]!s_val_pb_lf(P$6,$A31)</f>
        <v>5.2204999923706099</v>
      </c>
      <c r="Q31" s="1">
        <f>[1]!cb_anal_convpremiumratio($Q$6,A31-2)</f>
        <v>41.707859060402697</v>
      </c>
      <c r="S31" s="1">
        <f>[1]!cb_anal_straightbondpremiumratio($S$6,A31-3)</f>
        <v>0</v>
      </c>
      <c r="T31" s="9" cm="1">
        <f t="array" ref="T31">[1]!s_dq_close(T$6,$A31,1)</f>
        <v>15.15</v>
      </c>
      <c r="U31" s="9" cm="1">
        <f t="array" ref="U31">[1]!s_dq_close(U$6,$A31,1)</f>
        <v>7.1825999999999999</v>
      </c>
      <c r="V31" s="9" cm="1">
        <f t="array" ref="V31">[1]!s_dq_close(V$6,$A31,1)</f>
        <v>98.266999999999996</v>
      </c>
      <c r="W31" s="11" cm="1">
        <f t="array" ref="W31">[1]!s_dq_close(W$6,$A31,1)</f>
        <v>787.8</v>
      </c>
      <c r="X31" s="11" cm="1">
        <f t="array" ref="X31">[1]!s_dq_close(X$6,$A31,1)</f>
        <v>3458.2</v>
      </c>
      <c r="Y31" s="11" cm="1">
        <f t="array" ref="Y31">[1]!s_dq_close(Y$6,$A31,1)</f>
        <v>63.35</v>
      </c>
      <c r="Z31" s="11" cm="1">
        <f t="array" ref="Z31">[1]!s_dq_close(Z$6,$A31,1)</f>
        <v>66.319999999999993</v>
      </c>
      <c r="AA31" s="12" cm="1">
        <f t="array" ref="AA31">[1]!s_dq_oi(AA$6,$A31)</f>
        <v>1060946</v>
      </c>
      <c r="AB31" s="12" cm="1">
        <f t="array" ref="AB31">[1]!s_dq_close(AB$6,$A31,1)</f>
        <v>3045</v>
      </c>
      <c r="AC31" s="12" cm="1">
        <f t="array" ref="AC31">[1]!s_dq_close(AC$6,$A31,1)</f>
        <v>3015.43</v>
      </c>
      <c r="AD31" s="12" cm="1">
        <f t="array" ref="AD31">[1]!s_dq_close(AD$6,$A31,1)</f>
        <v>3213</v>
      </c>
      <c r="AE31" s="12" cm="1">
        <f t="array" ref="AE31">[1]!s_dq_close(AE$6,$A31,1)</f>
        <v>3428</v>
      </c>
      <c r="AF31" s="12" cm="1">
        <f t="array" ref="AF31">[1]!s_dq_close(AF$6,$A31,1)</f>
        <v>790</v>
      </c>
      <c r="AG31" s="12">
        <f>[1]!s_dq_close($AG$6,$A31)</f>
        <v>-1743.5</v>
      </c>
      <c r="AH31" s="11">
        <f>[1]!s_dq_close($AH$6,A31)</f>
        <v>7.1890000000000001</v>
      </c>
    </row>
    <row r="32" spans="1:34">
      <c r="A32" s="5">
        <v>45872</v>
      </c>
      <c r="B32" s="6">
        <v>1.7059</v>
      </c>
      <c r="C32" s="6">
        <v>1.7612000000000001</v>
      </c>
      <c r="D32" s="6">
        <v>1.7975000000000001</v>
      </c>
      <c r="E32" s="6">
        <v>4.2300000000000004</v>
      </c>
      <c r="F32" s="6">
        <v>1.4966999999999999</v>
      </c>
      <c r="G32" s="6">
        <v>1.6999</v>
      </c>
      <c r="H32" s="6">
        <v>3.87</v>
      </c>
      <c r="I32" s="6">
        <v>1.4258</v>
      </c>
      <c r="J32" s="10">
        <v>1.9</v>
      </c>
      <c r="K32" s="10">
        <v>198.2</v>
      </c>
      <c r="L32" s="10"/>
      <c r="M32" s="1" cm="1">
        <f t="array" ref="M32">[1]!s_val_pe_ttm(M$6,$A32)</f>
        <v>15.4191999435425</v>
      </c>
      <c r="N32" s="1" cm="1">
        <f t="array" ref="N32">[1]!s_val_pe_ttm(N$6,$A32)</f>
        <v>27.8719997406006</v>
      </c>
      <c r="O32" s="1" cm="1">
        <f t="array" ref="O32">[1]!s_val_pb_lf(O$6,$A32)</f>
        <v>1.4054000377655</v>
      </c>
      <c r="P32" s="1" cm="1">
        <f t="array" ref="P32">[1]!s_val_pb_lf(P$6,$A32)</f>
        <v>5.1096000671386701</v>
      </c>
      <c r="Q32" s="1">
        <f>[1]!cb_anal_convpremiumratio($Q$6,A32-2)</f>
        <v>41.554137831858498</v>
      </c>
      <c r="S32" s="1">
        <f>[1]!cb_anal_straightbondpremiumratio($S$6,A32-3)</f>
        <v>0</v>
      </c>
      <c r="T32" s="9" cm="1">
        <f t="array" ref="T32">[1]!s_dq_close(T$6,$A32,1)</f>
        <v>20.38</v>
      </c>
      <c r="U32" s="9" cm="1">
        <f t="array" ref="U32">[1]!s_dq_close(U$6,$A32,1)</f>
        <v>7.2106000000000003</v>
      </c>
      <c r="V32" s="9" cm="1">
        <f t="array" ref="V32">[1]!s_dq_close(V$6,$A32,1)</f>
        <v>98.69</v>
      </c>
      <c r="W32" s="11" cm="1">
        <f t="array" ref="W32">[1]!s_dq_close(W$6,$A32,1)</f>
        <v>770.72</v>
      </c>
      <c r="X32" s="11" cm="1">
        <f t="array" ref="X32">[1]!s_dq_close(X$6,$A32,1)</f>
        <v>3416</v>
      </c>
      <c r="Y32" s="11" cm="1">
        <f t="array" ref="Y32">[1]!s_dq_close(Y$6,$A32,1)</f>
        <v>67.260000000000005</v>
      </c>
      <c r="Z32" s="11" cm="1">
        <f t="array" ref="Z32">[1]!s_dq_close(Z$6,$A32,1)</f>
        <v>69.52</v>
      </c>
      <c r="AA32" s="12" cm="1">
        <f t="array" ref="AA32">[1]!s_dq_oi(AA$6,$A32)</f>
        <v>1396108</v>
      </c>
      <c r="AB32" s="12" cm="1">
        <f t="array" ref="AB32">[1]!s_dq_close(AB$6,$A32,1)</f>
        <v>3010</v>
      </c>
      <c r="AC32" s="12" cm="1">
        <f t="array" ref="AC32">[1]!s_dq_close(AC$6,$A32,1)</f>
        <v>2977.71</v>
      </c>
      <c r="AD32" s="12" cm="1">
        <f t="array" ref="AD32">[1]!s_dq_close(AD$6,$A32,1)</f>
        <v>3203</v>
      </c>
      <c r="AE32" s="12" cm="1">
        <f t="array" ref="AE32">[1]!s_dq_close(AE$6,$A32,1)</f>
        <v>3401</v>
      </c>
      <c r="AF32" s="12" cm="1">
        <f t="array" ref="AF32">[1]!s_dq_close(AF$6,$A32,1)</f>
        <v>783</v>
      </c>
      <c r="AG32" s="12">
        <f>[1]!s_dq_close($AG$6,$A32)</f>
        <v>-1879</v>
      </c>
      <c r="AH32" s="11">
        <f>[1]!s_dq_close($AH$6,A32)</f>
        <v>7.1928999999999998</v>
      </c>
    </row>
    <row r="33" spans="1:34">
      <c r="A33" s="5">
        <v>45865</v>
      </c>
      <c r="B33" s="6">
        <v>1.7323999999999999</v>
      </c>
      <c r="C33" s="6">
        <v>1.8076000000000001</v>
      </c>
      <c r="D33" s="6">
        <v>1.8471</v>
      </c>
      <c r="E33" s="6">
        <v>4.4000000000000004</v>
      </c>
      <c r="F33" s="6">
        <v>1.5219</v>
      </c>
      <c r="G33" s="6">
        <v>1.7413000000000001</v>
      </c>
      <c r="H33" s="6">
        <v>4.09</v>
      </c>
      <c r="I33" s="6">
        <v>1.4355</v>
      </c>
      <c r="J33" s="10">
        <v>1.96</v>
      </c>
      <c r="K33" s="10">
        <v>0</v>
      </c>
      <c r="L33" s="10"/>
      <c r="M33" s="1" cm="1">
        <f t="array" ref="M33">[1]!s_val_pe_ttm(M$6,$A33)</f>
        <v>15.582599639892599</v>
      </c>
      <c r="N33" s="1" cm="1">
        <f t="array" ref="N33">[1]!s_val_pe_ttm(N$6,$A33)</f>
        <v>28.505500793456999</v>
      </c>
      <c r="O33" s="1" cm="1">
        <f t="array" ref="O33">[1]!s_val_pb_lf(O$6,$A33)</f>
        <v>1.4179999828338601</v>
      </c>
      <c r="P33" s="1" cm="1">
        <f t="array" ref="P33">[1]!s_val_pb_lf(P$6,$A33)</f>
        <v>5.2930998802185103</v>
      </c>
      <c r="Q33" s="1">
        <f>[1]!cb_anal_convpremiumratio($Q$6,A33-2)</f>
        <v>41.6631732739421</v>
      </c>
      <c r="S33" s="1">
        <f>[1]!cb_anal_straightbondpremiumratio($S$6,A33-3)</f>
        <v>0</v>
      </c>
      <c r="T33" s="9" cm="1">
        <f t="array" ref="T33">[1]!s_dq_close(T$6,$A33,1)</f>
        <v>14.93</v>
      </c>
      <c r="U33" s="9" cm="1">
        <f t="array" ref="U33">[1]!s_dq_close(U$6,$A33,1)</f>
        <v>7.1679000000000004</v>
      </c>
      <c r="V33" s="9" cm="1">
        <f t="array" ref="V33">[1]!s_dq_close(V$6,$A33,1)</f>
        <v>97.670100000000005</v>
      </c>
      <c r="W33" s="11" cm="1">
        <f t="array" ref="W33">[1]!s_dq_close(W$6,$A33,1)</f>
        <v>777.32</v>
      </c>
      <c r="X33" s="11" cm="1">
        <f t="array" ref="X33">[1]!s_dq_close(X$6,$A33,1)</f>
        <v>3338.5</v>
      </c>
      <c r="Y33" s="11" cm="1">
        <f t="array" ref="Y33">[1]!s_dq_close(Y$6,$A33,1)</f>
        <v>65.069999999999993</v>
      </c>
      <c r="Z33" s="11" cm="1">
        <f t="array" ref="Z33">[1]!s_dq_close(Z$6,$A33,1)</f>
        <v>67.599999999999994</v>
      </c>
      <c r="AA33" s="12" cm="1">
        <f t="array" ref="AA33">[1]!s_dq_oi(AA$6,$A33)</f>
        <v>1623603</v>
      </c>
      <c r="AB33" s="12" cm="1">
        <f t="array" ref="AB33">[1]!s_dq_close(AB$6,$A33,1)</f>
        <v>3021</v>
      </c>
      <c r="AC33" s="12" cm="1">
        <f t="array" ref="AC33">[1]!s_dq_close(AC$6,$A33,1)</f>
        <v>2963.14</v>
      </c>
      <c r="AD33" s="12" cm="1">
        <f t="array" ref="AD33">[1]!s_dq_close(AD$6,$A33,1)</f>
        <v>3356</v>
      </c>
      <c r="AE33" s="12" cm="1">
        <f t="array" ref="AE33">[1]!s_dq_close(AE$6,$A33,1)</f>
        <v>3507</v>
      </c>
      <c r="AF33" s="12" cm="1">
        <f t="array" ref="AF33">[1]!s_dq_close(AF$6,$A33,1)</f>
        <v>802.5</v>
      </c>
      <c r="AG33" s="12">
        <f>[1]!s_dq_close($AG$6,$A33)</f>
        <v>-1759</v>
      </c>
      <c r="AH33" s="11">
        <f>[1]!s_dq_close($AH$6,A33)</f>
        <v>7.1680999999999999</v>
      </c>
    </row>
    <row r="34" spans="1:34">
      <c r="A34" s="5">
        <v>45858</v>
      </c>
      <c r="B34" s="6">
        <v>1.6652</v>
      </c>
      <c r="C34" s="6">
        <v>1.7171000000000001</v>
      </c>
      <c r="D34" s="6">
        <v>1.7289000000000001</v>
      </c>
      <c r="E34" s="6">
        <v>4.4400000000000004</v>
      </c>
      <c r="F34" s="6">
        <v>1.4789000000000001</v>
      </c>
      <c r="G34" s="6">
        <v>1.6452</v>
      </c>
      <c r="H34" s="6">
        <v>4.08</v>
      </c>
      <c r="I34" s="6">
        <v>1.3803000000000001</v>
      </c>
      <c r="J34" s="10">
        <v>2.0299999999999998</v>
      </c>
      <c r="K34" s="10">
        <v>214.1</v>
      </c>
      <c r="L34" s="10"/>
      <c r="M34" s="1" cm="1">
        <f t="array" ref="M34">[1]!s_val_pe_ttm(M$6,$A34)</f>
        <v>15.3881998062134</v>
      </c>
      <c r="N34" s="1" cm="1">
        <f t="array" ref="N34">[1]!s_val_pe_ttm(N$6,$A34)</f>
        <v>28.160600662231399</v>
      </c>
      <c r="O34" s="1" cm="1">
        <f t="array" ref="O34">[1]!s_val_pb_lf(O$6,$A34)</f>
        <v>1.3990000486373899</v>
      </c>
      <c r="P34" s="1" cm="1">
        <f t="array" ref="P34">[1]!s_val_pb_lf(P$6,$A34)</f>
        <v>5.2613000869751003</v>
      </c>
      <c r="Q34" s="1">
        <f>[1]!cb_anal_convpremiumratio($Q$6,A34-2)</f>
        <v>42.982479911699699</v>
      </c>
      <c r="S34" s="1">
        <f>[1]!cb_anal_straightbondpremiumratio($S$6,A34-3)</f>
        <v>0</v>
      </c>
      <c r="T34" s="9" cm="1">
        <f t="array" ref="T34">[1]!s_dq_close(T$6,$A34,1)</f>
        <v>16.41</v>
      </c>
      <c r="U34" s="9" cm="1">
        <f t="array" ref="U34">[1]!s_dq_close(U$6,$A34,1)</f>
        <v>7.1765999999999996</v>
      </c>
      <c r="V34" s="9" cm="1">
        <f t="array" ref="V34">[1]!s_dq_close(V$6,$A34,1)</f>
        <v>98.46</v>
      </c>
      <c r="W34" s="11" cm="1">
        <f t="array" ref="W34">[1]!s_dq_close(W$6,$A34,1)</f>
        <v>777.02</v>
      </c>
      <c r="X34" s="11" cm="1">
        <f t="array" ref="X34">[1]!s_dq_close(X$6,$A34,1)</f>
        <v>3355.5</v>
      </c>
      <c r="Y34" s="11" cm="1">
        <f t="array" ref="Y34">[1]!s_dq_close(Y$6,$A34,1)</f>
        <v>66.03</v>
      </c>
      <c r="Z34" s="11" cm="1">
        <f t="array" ref="Z34">[1]!s_dq_close(Z$6,$A34,1)</f>
        <v>69.23</v>
      </c>
      <c r="AA34" s="12" cm="1">
        <f t="array" ref="AA34">[1]!s_dq_oi(AA$6,$A34)</f>
        <v>1907175</v>
      </c>
      <c r="AB34" s="12" cm="1">
        <f t="array" ref="AB34">[1]!s_dq_close(AB$6,$A34,1)</f>
        <v>3056</v>
      </c>
      <c r="AC34" s="12" cm="1">
        <f t="array" ref="AC34">[1]!s_dq_close(AC$6,$A34,1)</f>
        <v>2969.43</v>
      </c>
      <c r="AD34" s="12" cm="1">
        <f t="array" ref="AD34">[1]!s_dq_close(AD$6,$A34,1)</f>
        <v>3147</v>
      </c>
      <c r="AE34" s="12" cm="1">
        <f t="array" ref="AE34">[1]!s_dq_close(AE$6,$A34,1)</f>
        <v>3310</v>
      </c>
      <c r="AF34" s="12" cm="1">
        <f t="array" ref="AF34">[1]!s_dq_close(AF$6,$A34,1)</f>
        <v>785</v>
      </c>
      <c r="AG34" s="12">
        <f>[1]!s_dq_close($AG$6,$A34)</f>
        <v>-1785</v>
      </c>
      <c r="AH34" s="11">
        <f>[1]!s_dq_close($AH$6,A34)</f>
        <v>7.181</v>
      </c>
    </row>
    <row r="35" spans="1:34">
      <c r="A35" s="5">
        <v>45851</v>
      </c>
      <c r="B35" s="6">
        <v>1.6653</v>
      </c>
      <c r="C35" s="6">
        <v>1.7176</v>
      </c>
      <c r="D35" s="6">
        <v>1.7578</v>
      </c>
      <c r="E35" s="6">
        <v>4.43</v>
      </c>
      <c r="F35" s="6">
        <v>1.4945999999999999</v>
      </c>
      <c r="G35" s="6">
        <v>1.6733</v>
      </c>
      <c r="H35" s="6">
        <v>4.09</v>
      </c>
      <c r="I35" s="6">
        <v>1.3995</v>
      </c>
      <c r="J35" s="10">
        <v>2.06</v>
      </c>
      <c r="K35" s="10">
        <v>209.7</v>
      </c>
      <c r="L35" s="10"/>
      <c r="M35" s="1" cm="1">
        <f t="array" ref="M35">[1]!s_val_pe_ttm(M$6,$A35)</f>
        <v>15.297599792480501</v>
      </c>
      <c r="N35" s="1" cm="1">
        <f t="array" ref="N35">[1]!s_val_pe_ttm(N$6,$A35)</f>
        <v>28.023799896240199</v>
      </c>
      <c r="O35" s="1" cm="1">
        <f t="array" ref="O35">[1]!s_val_pb_lf(O$6,$A35)</f>
        <v>1.3858000040054299</v>
      </c>
      <c r="P35" s="1" cm="1">
        <f t="array" ref="P35">[1]!s_val_pb_lf(P$6,$A35)</f>
        <v>5.2372999191284197</v>
      </c>
      <c r="Q35" s="1">
        <f>[1]!cb_anal_convpremiumratio($Q$6,A35-2)</f>
        <v>43.492653913043497</v>
      </c>
      <c r="S35" s="1">
        <f>[1]!cb_anal_straightbondpremiumratio($S$6,A35-3)</f>
        <v>0</v>
      </c>
      <c r="T35" s="9" cm="1">
        <f t="array" ref="T35">[1]!s_dq_close(T$6,$A35,1)</f>
        <v>16.399999999999999</v>
      </c>
      <c r="U35" s="9" cm="1">
        <f t="array" ref="U35">[1]!s_dq_close(U$6,$A35,1)</f>
        <v>7.1710000000000003</v>
      </c>
      <c r="V35" s="9" cm="1">
        <f t="array" ref="V35">[1]!s_dq_close(V$6,$A35,1)</f>
        <v>97.873099999999994</v>
      </c>
      <c r="W35" s="11" cm="1">
        <f t="array" ref="W35">[1]!s_dq_close(W$6,$A35,1)</f>
        <v>773.56</v>
      </c>
      <c r="X35" s="11" cm="1">
        <f t="array" ref="X35">[1]!s_dq_close(X$6,$A35,1)</f>
        <v>3370.3</v>
      </c>
      <c r="Y35" s="11" cm="1">
        <f t="array" ref="Y35">[1]!s_dq_close(Y$6,$A35,1)</f>
        <v>68.75</v>
      </c>
      <c r="Z35" s="11" cm="1">
        <f t="array" ref="Z35">[1]!s_dq_close(Z$6,$A35,1)</f>
        <v>70.63</v>
      </c>
      <c r="AA35" s="12" cm="1">
        <f t="array" ref="AA35">[1]!s_dq_oi(AA$6,$A35)</f>
        <v>2008008</v>
      </c>
      <c r="AB35" s="12" cm="1">
        <f t="array" ref="AB35">[1]!s_dq_close(AB$6,$A35,1)</f>
        <v>2976</v>
      </c>
      <c r="AC35" s="12" cm="1">
        <f t="array" ref="AC35">[1]!s_dq_close(AC$6,$A35,1)</f>
        <v>2914.86</v>
      </c>
      <c r="AD35" s="12" cm="1">
        <f t="array" ref="AD35">[1]!s_dq_close(AD$6,$A35,1)</f>
        <v>3133</v>
      </c>
      <c r="AE35" s="12" cm="1">
        <f t="array" ref="AE35">[1]!s_dq_close(AE$6,$A35,1)</f>
        <v>3273</v>
      </c>
      <c r="AF35" s="12" cm="1">
        <f t="array" ref="AF35">[1]!s_dq_close(AF$6,$A35,1)</f>
        <v>764</v>
      </c>
      <c r="AG35" s="12">
        <f>[1]!s_dq_close($AG$6,$A35)</f>
        <v>-1840.71</v>
      </c>
      <c r="AH35" s="11">
        <f>[1]!s_dq_close($AH$6,A35)</f>
        <v>7.1736000000000004</v>
      </c>
    </row>
    <row r="36" spans="1:34">
      <c r="A36" s="5">
        <v>45844</v>
      </c>
      <c r="B36" s="6">
        <v>1.6433</v>
      </c>
      <c r="C36" s="6">
        <v>1.6850000000000001</v>
      </c>
      <c r="D36" s="6">
        <v>1.7432000000000001</v>
      </c>
      <c r="E36" s="6">
        <v>4.3499999999999996</v>
      </c>
      <c r="F36" s="6">
        <v>1.446</v>
      </c>
      <c r="G36" s="6">
        <v>1.6791</v>
      </c>
      <c r="H36" s="6">
        <v>4.07</v>
      </c>
      <c r="I36" s="6">
        <v>1.3533999999999999</v>
      </c>
      <c r="J36" s="10">
        <v>2.02</v>
      </c>
      <c r="K36" s="10">
        <v>212.9</v>
      </c>
      <c r="L36" s="10"/>
      <c r="M36" s="1" cm="1">
        <f t="array" ref="M36">[1]!s_val_pe_ttm(M$6,$A36)</f>
        <v>15.1538000106812</v>
      </c>
      <c r="N36" s="1" cm="1">
        <f t="array" ref="N36">[1]!s_val_pe_ttm(N$6,$A36)</f>
        <v>28.1163005828857</v>
      </c>
      <c r="O36" s="1" cm="1">
        <f t="array" ref="O36">[1]!s_val_pb_lf(O$6,$A36)</f>
        <v>1.3674999475479099</v>
      </c>
      <c r="P36" s="1" cm="1">
        <f t="array" ref="P36">[1]!s_val_pb_lf(P$6,$A36)</f>
        <v>5.2512001991271999</v>
      </c>
      <c r="Q36" s="1">
        <f>[1]!cb_anal_convpremiumratio($Q$6,A36-2)</f>
        <v>45.130454663774401</v>
      </c>
      <c r="S36" s="1">
        <f>[1]!cb_anal_straightbondpremiumratio($S$6,A36-3)</f>
        <v>0</v>
      </c>
      <c r="T36" s="9" cm="1">
        <f t="array" ref="T36">[1]!s_dq_close(T$6,$A36,1)</f>
        <v>16.38</v>
      </c>
      <c r="U36" s="9" cm="1">
        <f t="array" ref="U36">[1]!s_dq_close(U$6,$A36,1)</f>
        <v>7.1651999999999996</v>
      </c>
      <c r="V36" s="9" cm="1">
        <f t="array" ref="V36">[1]!s_dq_close(V$6,$A36,1)</f>
        <v>96.988</v>
      </c>
      <c r="W36" s="11" cm="1">
        <f t="array" ref="W36">[1]!s_dq_close(W$6,$A36,1)</f>
        <v>777.06</v>
      </c>
      <c r="X36" s="11" cm="1">
        <f t="array" ref="X36">[1]!s_dq_close(X$6,$A36,1)</f>
        <v>3346.5</v>
      </c>
      <c r="Y36" s="11" cm="1">
        <f t="array" ref="Y36">[1]!s_dq_close(Y$6,$A36,1)</f>
        <v>66.5</v>
      </c>
      <c r="Z36" s="11" cm="1">
        <f t="array" ref="Z36">[1]!s_dq_close(Z$6,$A36,1)</f>
        <v>68.510000000000005</v>
      </c>
      <c r="AA36" s="12" cm="1">
        <f t="array" ref="AA36">[1]!s_dq_oi(AA$6,$A36)</f>
        <v>2123115</v>
      </c>
      <c r="AB36" s="12" cm="1">
        <f t="array" ref="AB36">[1]!s_dq_close(AB$6,$A36,1)</f>
        <v>2954</v>
      </c>
      <c r="AC36" s="12" cm="1">
        <f t="array" ref="AC36">[1]!s_dq_close(AC$6,$A36,1)</f>
        <v>2916.29</v>
      </c>
      <c r="AD36" s="12" cm="1">
        <f t="array" ref="AD36">[1]!s_dq_close(AD$6,$A36,1)</f>
        <v>3072</v>
      </c>
      <c r="AE36" s="12" cm="1">
        <f t="array" ref="AE36">[1]!s_dq_close(AE$6,$A36,1)</f>
        <v>3201</v>
      </c>
      <c r="AF36" s="12" cm="1">
        <f t="array" ref="AF36">[1]!s_dq_close(AF$6,$A36,1)</f>
        <v>732.5</v>
      </c>
      <c r="AG36" s="12">
        <f>[1]!s_dq_close($AG$6,$A36)</f>
        <v>-1920</v>
      </c>
      <c r="AH36" s="11">
        <f>[1]!s_dq_close($AH$6,A36)</f>
        <v>7.1646000000000001</v>
      </c>
    </row>
    <row r="37" spans="1:34">
      <c r="A37" s="5">
        <v>45837</v>
      </c>
      <c r="B37" s="6">
        <v>1.6462000000000001</v>
      </c>
      <c r="C37" s="6">
        <v>1.6825000000000001</v>
      </c>
      <c r="D37" s="6">
        <v>1.7917000000000001</v>
      </c>
      <c r="E37" s="6">
        <v>4.29</v>
      </c>
      <c r="F37" s="6">
        <v>1.4775</v>
      </c>
      <c r="G37" s="6">
        <v>1.7</v>
      </c>
      <c r="H37" s="6">
        <v>3.97</v>
      </c>
      <c r="I37" s="6">
        <v>1.3605</v>
      </c>
      <c r="J37" s="10">
        <v>2</v>
      </c>
      <c r="K37" s="10">
        <v>0</v>
      </c>
      <c r="L37" s="10"/>
      <c r="M37" s="1" cm="1">
        <f t="array" ref="M37">[1]!s_val_pe_ttm(M$6,$A37)</f>
        <v>14.9348001480103</v>
      </c>
      <c r="N37" s="1" cm="1">
        <f t="array" ref="N37">[1]!s_val_pe_ttm(N$6,$A37)</f>
        <v>27.643499374389599</v>
      </c>
      <c r="O37" s="1" cm="1">
        <f t="array" ref="O37">[1]!s_val_pb_lf(O$6,$A37)</f>
        <v>1.3470000028610201</v>
      </c>
      <c r="P37" s="1" cm="1">
        <f t="array" ref="P37">[1]!s_val_pb_lf(P$6,$A37)</f>
        <v>5.1640000343322798</v>
      </c>
      <c r="Q37" s="1">
        <f>[1]!cb_anal_convpremiumratio($Q$6,A37-2)</f>
        <v>46.235279741379301</v>
      </c>
      <c r="S37" s="1">
        <f>[1]!cb_anal_straightbondpremiumratio($S$6,A37-3)</f>
        <v>0</v>
      </c>
      <c r="T37" s="9" cm="1">
        <f t="array" ref="T37">[1]!s_dq_close(T$6,$A37,1)</f>
        <v>16.32</v>
      </c>
      <c r="U37" s="9" cm="1">
        <f t="array" ref="U37">[1]!s_dq_close(U$6,$A37,1)</f>
        <v>7.1689999999999996</v>
      </c>
      <c r="V37" s="9" cm="1">
        <f t="array" ref="V37">[1]!s_dq_close(V$6,$A37,1)</f>
        <v>97.261200000000002</v>
      </c>
      <c r="W37" s="11" cm="1">
        <f t="array" ref="W37">[1]!s_dq_close(W$6,$A37,1)</f>
        <v>766.4</v>
      </c>
      <c r="X37" s="11" cm="1">
        <f t="array" ref="X37">[1]!s_dq_close(X$6,$A37,1)</f>
        <v>3286.1</v>
      </c>
      <c r="Y37" s="11" cm="1">
        <f t="array" ref="Y37">[1]!s_dq_close(Y$6,$A37,1)</f>
        <v>65.069999999999993</v>
      </c>
      <c r="Z37" s="11" cm="1">
        <f t="array" ref="Z37">[1]!s_dq_close(Z$6,$A37,1)</f>
        <v>66.34</v>
      </c>
      <c r="AA37" s="12" cm="1">
        <f t="array" ref="AA37">[1]!s_dq_oi(AA$6,$A37)</f>
        <v>2221758</v>
      </c>
      <c r="AB37" s="12" cm="1">
        <f t="array" ref="AB37">[1]!s_dq_close(AB$6,$A37,1)</f>
        <v>2946</v>
      </c>
      <c r="AC37" s="12" cm="1">
        <f t="array" ref="AC37">[1]!s_dq_close(AC$6,$A37,1)</f>
        <v>2902.86</v>
      </c>
      <c r="AD37" s="12" cm="1">
        <f t="array" ref="AD37">[1]!s_dq_close(AD$6,$A37,1)</f>
        <v>2995</v>
      </c>
      <c r="AE37" s="12" cm="1">
        <f t="array" ref="AE37">[1]!s_dq_close(AE$6,$A37,1)</f>
        <v>3121</v>
      </c>
      <c r="AF37" s="12" cm="1">
        <f t="array" ref="AF37">[1]!s_dq_close(AF$6,$A37,1)</f>
        <v>716.5</v>
      </c>
      <c r="AG37" s="12">
        <f>[1]!s_dq_close($AG$6,$A37)</f>
        <v>-1892</v>
      </c>
      <c r="AH37" s="11">
        <f>[1]!s_dq_close($AH$6,A37)</f>
        <v>7.1729000000000003</v>
      </c>
    </row>
    <row r="38" spans="1:34">
      <c r="A38" s="5">
        <v>45830</v>
      </c>
      <c r="B38" s="6">
        <v>1.6395999999999999</v>
      </c>
      <c r="C38" s="6">
        <v>1.677</v>
      </c>
      <c r="D38" s="6">
        <v>1.7737000000000001</v>
      </c>
      <c r="E38" s="6">
        <v>4.38</v>
      </c>
      <c r="F38" s="6">
        <v>1.4850000000000001</v>
      </c>
      <c r="G38" s="6">
        <v>1.7052</v>
      </c>
      <c r="H38" s="6">
        <v>4.07</v>
      </c>
      <c r="I38" s="6">
        <v>1.3662000000000001</v>
      </c>
      <c r="J38" s="10">
        <v>2.0499999999999998</v>
      </c>
      <c r="K38" s="10">
        <v>214.8</v>
      </c>
      <c r="L38" s="10"/>
      <c r="M38" s="1" cm="1">
        <f t="array" ref="M38">[1]!s_val_pe_ttm(M$6,$A38)</f>
        <v>14.669599533081101</v>
      </c>
      <c r="N38" s="1" cm="1">
        <f t="array" ref="N38">[1]!s_val_pe_ttm(N$6,$A38)</f>
        <v>26.694299697876001</v>
      </c>
      <c r="O38" s="1" cm="1">
        <f t="array" ref="O38">[1]!s_val_pb_lf(O$6,$A38)</f>
        <v>1.32159996032715</v>
      </c>
      <c r="P38" s="1" cm="1">
        <f t="array" ref="P38">[1]!s_val_pb_lf(P$6,$A38)</f>
        <v>4.9881000518798801</v>
      </c>
      <c r="Q38" s="1">
        <f>[1]!cb_anal_convpremiumratio($Q$6,A38-2)</f>
        <v>48.881696137339098</v>
      </c>
      <c r="S38" s="1">
        <f>[1]!cb_anal_straightbondpremiumratio($S$6,A38-3)</f>
        <v>0</v>
      </c>
      <c r="T38" s="9" cm="1">
        <f t="array" ref="T38">[1]!s_dq_close(T$6,$A38,1)</f>
        <v>20.62</v>
      </c>
      <c r="U38" s="9" cm="1">
        <f t="array" ref="U38">[1]!s_dq_close(U$6,$A38,1)</f>
        <v>7.1837</v>
      </c>
      <c r="V38" s="9" cm="1">
        <f t="array" ref="V38">[1]!s_dq_close(V$6,$A38,1)</f>
        <v>98.763900000000007</v>
      </c>
      <c r="W38" s="11" cm="1">
        <f t="array" ref="W38">[1]!s_dq_close(W$6,$A38,1)</f>
        <v>778.58</v>
      </c>
      <c r="X38" s="11" cm="1">
        <f t="array" ref="X38">[1]!s_dq_close(X$6,$A38,1)</f>
        <v>3384.4</v>
      </c>
      <c r="Y38" s="11" cm="1">
        <f t="array" ref="Y38">[1]!s_dq_close(Y$6,$A38,1)</f>
        <v>74.040000000000006</v>
      </c>
      <c r="Z38" s="11" cm="1">
        <f t="array" ref="Z38">[1]!s_dq_close(Z$6,$A38,1)</f>
        <v>75.78</v>
      </c>
      <c r="AA38" s="12" cm="1">
        <f t="array" ref="AA38">[1]!s_dq_oi(AA$6,$A38)</f>
        <v>2339532</v>
      </c>
      <c r="AB38" s="12" cm="1">
        <f t="array" ref="AB38">[1]!s_dq_close(AB$6,$A38,1)</f>
        <v>3067</v>
      </c>
      <c r="AC38" s="12" cm="1">
        <f t="array" ref="AC38">[1]!s_dq_close(AC$6,$A38,1)</f>
        <v>3015.14</v>
      </c>
      <c r="AD38" s="12" cm="1">
        <f t="array" ref="AD38">[1]!s_dq_close(AD$6,$A38,1)</f>
        <v>2992</v>
      </c>
      <c r="AE38" s="12" cm="1">
        <f t="array" ref="AE38">[1]!s_dq_close(AE$6,$A38,1)</f>
        <v>3116</v>
      </c>
      <c r="AF38" s="12" cm="1">
        <f t="array" ref="AF38">[1]!s_dq_close(AF$6,$A38,1)</f>
        <v>703</v>
      </c>
      <c r="AG38" s="12">
        <f>[1]!s_dq_close($AG$6,$A38)</f>
        <v>-1993</v>
      </c>
      <c r="AH38" s="11">
        <f>[1]!s_dq_close($AH$6,A38)</f>
        <v>7.1794000000000002</v>
      </c>
    </row>
    <row r="39" spans="1:34">
      <c r="A39" s="5">
        <v>45823</v>
      </c>
      <c r="B39" s="6">
        <v>1.6439999999999999</v>
      </c>
      <c r="C39" s="6">
        <v>1.7032</v>
      </c>
      <c r="D39" s="6">
        <v>1.7743</v>
      </c>
      <c r="E39" s="6">
        <v>4.41</v>
      </c>
      <c r="F39" s="6">
        <v>1.5004999999999999</v>
      </c>
      <c r="G39" s="6">
        <v>1.7284999999999999</v>
      </c>
      <c r="H39" s="6">
        <v>4.09</v>
      </c>
      <c r="I39" s="6">
        <v>1.4132</v>
      </c>
      <c r="J39" s="10">
        <v>2.13</v>
      </c>
      <c r="K39" s="10">
        <v>215.9</v>
      </c>
      <c r="L39" s="10"/>
      <c r="M39" s="1" cm="1">
        <f t="array" ref="M39">[1]!s_val_pe_ttm(M$6,$A39)</f>
        <v>14.6183996200562</v>
      </c>
      <c r="N39" s="1" cm="1">
        <f t="array" ref="N39">[1]!s_val_pe_ttm(N$6,$A39)</f>
        <v>26.792600631713899</v>
      </c>
      <c r="O39" s="1" cm="1">
        <f t="array" ref="O39">[1]!s_val_pb_lf(O$6,$A39)</f>
        <v>1.32529997825623</v>
      </c>
      <c r="P39" s="1" cm="1">
        <f t="array" ref="P39">[1]!s_val_pb_lf(P$6,$A39)</f>
        <v>5.0074000358581499</v>
      </c>
      <c r="Q39" s="1">
        <f>[1]!cb_anal_convpremiumratio($Q$6,A39-2)</f>
        <v>46.776540085287799</v>
      </c>
      <c r="S39" s="1">
        <f>[1]!cb_anal_straightbondpremiumratio($S$6,A39-3)</f>
        <v>0</v>
      </c>
      <c r="T39" s="9" cm="1">
        <f t="array" ref="T39">[1]!s_dq_close(T$6,$A39,1)</f>
        <v>20.82</v>
      </c>
      <c r="U39" s="9" cm="1">
        <f t="array" ref="U39">[1]!s_dq_close(U$6,$A39,1)</f>
        <v>7.1813000000000002</v>
      </c>
      <c r="V39" s="9" cm="1">
        <f t="array" ref="V39">[1]!s_dq_close(V$6,$A39,1)</f>
        <v>98.144999999999996</v>
      </c>
      <c r="W39" s="11" cm="1">
        <f t="array" ref="W39">[1]!s_dq_close(W$6,$A39,1)</f>
        <v>794.36</v>
      </c>
      <c r="X39" s="11" cm="1">
        <f t="array" ref="X39">[1]!s_dq_close(X$6,$A39,1)</f>
        <v>3452.6</v>
      </c>
      <c r="Y39" s="11" cm="1">
        <f t="array" ref="Y39">[1]!s_dq_close(Y$6,$A39,1)</f>
        <v>73.180000000000007</v>
      </c>
      <c r="Z39" s="11" cm="1">
        <f t="array" ref="Z39">[1]!s_dq_close(Z$6,$A39,1)</f>
        <v>75.180000000000007</v>
      </c>
      <c r="AA39" s="12" cm="1">
        <f t="array" ref="AA39">[1]!s_dq_oi(AA$6,$A39)</f>
        <v>2318021</v>
      </c>
      <c r="AB39" s="12" cm="1">
        <f t="array" ref="AB39">[1]!s_dq_close(AB$6,$A39,1)</f>
        <v>3041</v>
      </c>
      <c r="AC39" s="12" cm="1">
        <f t="array" ref="AC39">[1]!s_dq_close(AC$6,$A39,1)</f>
        <v>2968</v>
      </c>
      <c r="AD39" s="12" cm="1">
        <f t="array" ref="AD39">[1]!s_dq_close(AD$6,$A39,1)</f>
        <v>2969</v>
      </c>
      <c r="AE39" s="12" cm="1">
        <f t="array" ref="AE39">[1]!s_dq_close(AE$6,$A39,1)</f>
        <v>3082</v>
      </c>
      <c r="AF39" s="12" cm="1">
        <f t="array" ref="AF39">[1]!s_dq_close(AF$6,$A39,1)</f>
        <v>703</v>
      </c>
      <c r="AG39" s="12">
        <f>[1]!s_dq_close($AG$6,$A39)</f>
        <v>-2025</v>
      </c>
      <c r="AH39" s="11">
        <f>[1]!s_dq_close($AH$6,A39)</f>
        <v>7.1896000000000004</v>
      </c>
    </row>
    <row r="40" spans="1:34">
      <c r="A40" s="5">
        <v>45816</v>
      </c>
      <c r="B40" s="6">
        <v>1.6547000000000001</v>
      </c>
      <c r="C40" s="6">
        <v>1.6967000000000001</v>
      </c>
      <c r="D40" s="6">
        <v>1.8024</v>
      </c>
      <c r="E40" s="6">
        <v>4.51</v>
      </c>
      <c r="F40" s="6">
        <v>1.5049999999999999</v>
      </c>
      <c r="G40" s="6">
        <v>1.7272000000000001</v>
      </c>
      <c r="H40" s="6">
        <v>4.1399999999999997</v>
      </c>
      <c r="I40" s="6">
        <v>1.4257</v>
      </c>
      <c r="J40" s="10">
        <v>2.2000000000000002</v>
      </c>
      <c r="K40" s="10">
        <v>0</v>
      </c>
      <c r="L40" s="10"/>
      <c r="M40" s="1" cm="1">
        <f t="array" ref="M40">[1]!s_val_pe_ttm(M$6,$A40)</f>
        <v>14.6423997879028</v>
      </c>
      <c r="N40" s="1" cm="1">
        <f t="array" ref="N40">[1]!s_val_pe_ttm(N$6,$A40)</f>
        <v>26.8649005889893</v>
      </c>
      <c r="O40" s="1" cm="1">
        <f t="array" ref="O40">[1]!s_val_pb_lf(O$6,$A40)</f>
        <v>1.32589995861053</v>
      </c>
      <c r="P40" s="1" cm="1">
        <f t="array" ref="P40">[1]!s_val_pb_lf(P$6,$A40)</f>
        <v>5.0233998298645002</v>
      </c>
      <c r="Q40" s="1">
        <f>[1]!cb_anal_convpremiumratio($Q$6,A40-2)</f>
        <v>46.157264468085103</v>
      </c>
      <c r="S40" s="1">
        <f>[1]!cb_anal_straightbondpremiumratio($S$6,A40-3)</f>
        <v>0</v>
      </c>
      <c r="T40" s="9" cm="1">
        <f t="array" ref="T40">[1]!s_dq_close(T$6,$A40,1)</f>
        <v>16.77</v>
      </c>
      <c r="U40" s="9" cm="1">
        <f t="array" ref="U40">[1]!s_dq_close(U$6,$A40,1)</f>
        <v>7.1847000000000003</v>
      </c>
      <c r="V40" s="9" cm="1">
        <f t="array" ref="V40">[1]!s_dq_close(V$6,$A40,1)</f>
        <v>99.203100000000006</v>
      </c>
      <c r="W40" s="11" cm="1">
        <f t="array" ref="W40">[1]!s_dq_close(W$6,$A40,1)</f>
        <v>783.24</v>
      </c>
      <c r="X40" s="11" cm="1">
        <f t="array" ref="X40">[1]!s_dq_close(X$6,$A40,1)</f>
        <v>3331</v>
      </c>
      <c r="Y40" s="11" cm="1">
        <f t="array" ref="Y40">[1]!s_dq_close(Y$6,$A40,1)</f>
        <v>64.77</v>
      </c>
      <c r="Z40" s="11" cm="1">
        <f t="array" ref="Z40">[1]!s_dq_close(Z$6,$A40,1)</f>
        <v>66.650000000000006</v>
      </c>
      <c r="AA40" s="12" cm="1">
        <f t="array" ref="AA40">[1]!s_dq_oi(AA$6,$A40)</f>
        <v>2274340</v>
      </c>
      <c r="AB40" s="12" cm="1">
        <f t="array" ref="AB40">[1]!s_dq_close(AB$6,$A40,1)</f>
        <v>3010</v>
      </c>
      <c r="AC40" s="12" cm="1">
        <f t="array" ref="AC40">[1]!s_dq_close(AC$6,$A40,1)</f>
        <v>2939.71</v>
      </c>
      <c r="AD40" s="12" cm="1">
        <f t="array" ref="AD40">[1]!s_dq_close(AD$6,$A40,1)</f>
        <v>2975</v>
      </c>
      <c r="AE40" s="12" cm="1">
        <f t="array" ref="AE40">[1]!s_dq_close(AE$6,$A40,1)</f>
        <v>3092</v>
      </c>
      <c r="AF40" s="12" cm="1">
        <f t="array" ref="AF40">[1]!s_dq_close(AF$6,$A40,1)</f>
        <v>707.5</v>
      </c>
      <c r="AG40" s="12">
        <f>[1]!s_dq_close($AG$6,$A40)</f>
        <v>-2045</v>
      </c>
      <c r="AH40" s="11">
        <f>[1]!s_dq_close($AH$6,A40)</f>
        <v>7.1885000000000003</v>
      </c>
    </row>
    <row r="41" spans="1:34">
      <c r="A41" s="5">
        <v>45809</v>
      </c>
      <c r="B41" s="6">
        <v>1.6712</v>
      </c>
      <c r="C41" s="6">
        <v>1.7090000000000001</v>
      </c>
      <c r="D41" s="6">
        <v>1.8080000000000001</v>
      </c>
      <c r="E41" s="6">
        <v>4.41</v>
      </c>
      <c r="F41" s="6">
        <v>1.53</v>
      </c>
      <c r="G41" s="6">
        <v>1.7226999999999999</v>
      </c>
      <c r="H41" s="6">
        <v>4.1100000000000003</v>
      </c>
      <c r="I41" s="6">
        <v>1.4617</v>
      </c>
      <c r="J41" s="10">
        <v>2.0699999999999998</v>
      </c>
      <c r="K41" s="10">
        <v>209.1</v>
      </c>
      <c r="L41" s="10"/>
      <c r="M41" s="1" cm="1">
        <f t="array" ref="M41">[1]!s_val_pe_ttm(M$6,$A41)</f>
        <v>14.489500045776399</v>
      </c>
      <c r="N41" s="1" cm="1">
        <f t="array" ref="N41">[1]!s_val_pe_ttm(N$6,$A41)</f>
        <v>26.495500564575199</v>
      </c>
      <c r="O41" s="1" cm="1">
        <f t="array" ref="O41">[1]!s_val_pb_lf(O$6,$A41)</f>
        <v>1.3095999956130999</v>
      </c>
      <c r="P41" s="1" cm="1">
        <f t="array" ref="P41">[1]!s_val_pb_lf(P$6,$A41)</f>
        <v>4.9510002136230504</v>
      </c>
      <c r="Q41" s="1">
        <f>[1]!cb_anal_convpremiumratio($Q$6,A41-2)</f>
        <v>47.418862978723404</v>
      </c>
      <c r="S41" s="1">
        <f>[1]!cb_anal_straightbondpremiumratio($S$6,A41-3)</f>
        <v>0</v>
      </c>
      <c r="T41" s="9" cm="1">
        <f t="array" ref="T41">[1]!s_dq_close(T$6,$A41,1)</f>
        <v>18.57</v>
      </c>
      <c r="U41" s="9" cm="1">
        <f t="array" ref="U41">[1]!s_dq_close(U$6,$A41,1)</f>
        <v>7.1952999999999996</v>
      </c>
      <c r="V41" s="9" cm="1">
        <f t="array" ref="V41">[1]!s_dq_close(V$6,$A41,1)</f>
        <v>99.439300000000003</v>
      </c>
      <c r="W41" s="11" cm="1">
        <f t="array" ref="W41">[1]!s_dq_close(W$6,$A41,1)</f>
        <v>771.8</v>
      </c>
      <c r="X41" s="11" cm="1">
        <f t="array" ref="X41">[1]!s_dq_close(X$6,$A41,1)</f>
        <v>3313.1</v>
      </c>
      <c r="Y41" s="11" cm="1">
        <f t="array" ref="Y41">[1]!s_dq_close(Y$6,$A41,1)</f>
        <v>60.79</v>
      </c>
      <c r="Z41" s="11" cm="1">
        <f t="array" ref="Z41">[1]!s_dq_close(Z$6,$A41,1)</f>
        <v>62.61</v>
      </c>
      <c r="AA41" s="12" cm="1">
        <f t="array" ref="AA41">[1]!s_dq_oi(AA$6,$A41)</f>
        <v>2209609</v>
      </c>
      <c r="AB41" s="12" cm="1">
        <f t="array" ref="AB41">[1]!s_dq_close(AB$6,$A41,1)</f>
        <v>2968</v>
      </c>
      <c r="AC41" s="12" cm="1">
        <f t="array" ref="AC41">[1]!s_dq_close(AC$6,$A41,1)</f>
        <v>2975.14</v>
      </c>
      <c r="AD41" s="12" cm="1">
        <f t="array" ref="AD41">[1]!s_dq_close(AD$6,$A41,1)</f>
        <v>2961</v>
      </c>
      <c r="AE41" s="12" cm="1">
        <f t="array" ref="AE41">[1]!s_dq_close(AE$6,$A41,1)</f>
        <v>3076</v>
      </c>
      <c r="AF41" s="12" cm="1">
        <f t="array" ref="AF41">[1]!s_dq_close(AF$6,$A41,1)</f>
        <v>702</v>
      </c>
      <c r="AG41" s="12">
        <f>[1]!s_dq_close($AG$6,$A41)</f>
        <v>-2050</v>
      </c>
      <c r="AH41" s="11">
        <f>[1]!s_dq_close($AH$6,A41)</f>
        <v>7.2065000000000001</v>
      </c>
    </row>
    <row r="42" spans="1:34">
      <c r="A42" s="5">
        <v>45802</v>
      </c>
      <c r="B42" s="6">
        <v>1.7208000000000001</v>
      </c>
      <c r="C42" s="6">
        <v>1.7034</v>
      </c>
      <c r="D42" s="6">
        <v>1.7948</v>
      </c>
      <c r="E42" s="6">
        <v>4.51</v>
      </c>
      <c r="F42" s="6">
        <v>1.5149999999999999</v>
      </c>
      <c r="G42" s="6">
        <v>1.6841999999999999</v>
      </c>
      <c r="H42" s="6">
        <v>4.1500000000000004</v>
      </c>
      <c r="I42" s="6">
        <v>1.4746999999999999</v>
      </c>
      <c r="J42" s="10">
        <v>2.1800000000000002</v>
      </c>
      <c r="K42" s="10">
        <v>219.9</v>
      </c>
      <c r="L42" s="10"/>
      <c r="M42" s="1" cm="1">
        <f t="array" ref="M42">[1]!s_val_pe_ttm(M$6,$A42)</f>
        <v>14.483300209045399</v>
      </c>
      <c r="N42" s="1" cm="1">
        <f t="array" ref="N42">[1]!s_val_pe_ttm(N$6,$A42)</f>
        <v>26.055200576782202</v>
      </c>
      <c r="O42" s="1" cm="1">
        <f t="array" ref="O42">[1]!s_val_pb_lf(O$6,$A42)</f>
        <v>1.30840003490448</v>
      </c>
      <c r="P42" s="1" cm="1">
        <f t="array" ref="P42">[1]!s_val_pb_lf(P$6,$A42)</f>
        <v>4.86189985275269</v>
      </c>
      <c r="Q42" s="1">
        <f>[1]!cb_anal_convpremiumratio($Q$6,A42-2)</f>
        <v>48.374570127118602</v>
      </c>
      <c r="S42" s="1">
        <f>[1]!cb_anal_straightbondpremiumratio($S$6,A42-3)</f>
        <v>0</v>
      </c>
      <c r="T42" s="9" cm="1">
        <f t="array" ref="T42">[1]!s_dq_close(T$6,$A42,1)</f>
        <v>22.29</v>
      </c>
      <c r="U42" s="9" cm="1">
        <f t="array" ref="U42">[1]!s_dq_close(U$6,$A42,1)</f>
        <v>7.1894999999999998</v>
      </c>
      <c r="V42" s="9" cm="1">
        <f t="array" ref="V42">[1]!s_dq_close(V$6,$A42,1)</f>
        <v>99.123099999999994</v>
      </c>
      <c r="W42" s="11" cm="1">
        <f t="array" ref="W42">[1]!s_dq_close(W$6,$A42,1)</f>
        <v>780.1</v>
      </c>
      <c r="X42" s="11" cm="1">
        <f t="array" ref="X42">[1]!s_dq_close(X$6,$A42,1)</f>
        <v>3357.7</v>
      </c>
      <c r="Y42" s="11" cm="1">
        <f t="array" ref="Y42">[1]!s_dq_close(Y$6,$A42,1)</f>
        <v>61.76</v>
      </c>
      <c r="Z42" s="11" cm="1">
        <f t="array" ref="Z42">[1]!s_dq_close(Z$6,$A42,1)</f>
        <v>65.03</v>
      </c>
      <c r="AA42" s="12" cm="1">
        <f t="array" ref="AA42">[1]!s_dq_oi(AA$6,$A42)</f>
        <v>2422679</v>
      </c>
      <c r="AB42" s="12" cm="1">
        <f t="array" ref="AB42">[1]!s_dq_close(AB$6,$A42,1)</f>
        <v>2952</v>
      </c>
      <c r="AC42" s="12" cm="1">
        <f t="array" ref="AC42">[1]!s_dq_close(AC$6,$A42,1)</f>
        <v>3028</v>
      </c>
      <c r="AD42" s="12" cm="1">
        <f t="array" ref="AD42">[1]!s_dq_close(AD$6,$A42,1)</f>
        <v>3046</v>
      </c>
      <c r="AE42" s="12" cm="1">
        <f t="array" ref="AE42">[1]!s_dq_close(AE$6,$A42,1)</f>
        <v>3189</v>
      </c>
      <c r="AF42" s="12" cm="1">
        <f t="array" ref="AF42">[1]!s_dq_close(AF$6,$A42,1)</f>
        <v>718</v>
      </c>
      <c r="AG42" s="12">
        <f>[1]!s_dq_close($AG$6,$A42)</f>
        <v>-2036</v>
      </c>
      <c r="AH42" s="11">
        <f>[1]!s_dq_close($AH$6,A42)</f>
        <v>7.1722000000000001</v>
      </c>
    </row>
    <row r="43" spans="1:34">
      <c r="A43" s="5">
        <v>45795</v>
      </c>
      <c r="B43" s="6">
        <v>1.6793</v>
      </c>
      <c r="C43" s="6">
        <v>1.7133</v>
      </c>
      <c r="D43" s="6">
        <v>1.7906</v>
      </c>
      <c r="E43" s="6">
        <v>4.43</v>
      </c>
      <c r="F43" s="6">
        <v>1.5052000000000001</v>
      </c>
      <c r="G43" s="6">
        <v>1.6987000000000001</v>
      </c>
      <c r="H43" s="6">
        <v>4.13</v>
      </c>
      <c r="I43" s="6">
        <v>1.4749000000000001</v>
      </c>
      <c r="J43" s="10">
        <v>2.09</v>
      </c>
      <c r="K43" s="10">
        <v>0</v>
      </c>
      <c r="L43" s="10"/>
      <c r="M43" s="1" cm="1">
        <f t="array" ref="M43">[1]!s_val_pe_ttm(M$6,$A43)</f>
        <v>14.540599822998001</v>
      </c>
      <c r="N43" s="1" cm="1">
        <f t="array" ref="N43">[1]!s_val_pe_ttm(N$6,$A43)</f>
        <v>26.674800872802699</v>
      </c>
      <c r="O43" s="1" cm="1">
        <f t="array" ref="O43">[1]!s_val_pb_lf(O$6,$A43)</f>
        <v>1.31330001354218</v>
      </c>
      <c r="P43" s="1" cm="1">
        <f t="array" ref="P43">[1]!s_val_pb_lf(P$6,$A43)</f>
        <v>4.9815001487731898</v>
      </c>
      <c r="Q43" s="1">
        <f>[1]!cb_anal_convpremiumratio($Q$6,A43-2)</f>
        <v>47.471263135593198</v>
      </c>
      <c r="S43" s="1">
        <f>[1]!cb_anal_straightbondpremiumratio($S$6,A43-3)</f>
        <v>0</v>
      </c>
      <c r="T43" s="9" cm="1">
        <f t="array" ref="T43">[1]!s_dq_close(T$6,$A43,1)</f>
        <v>17.239999999999998</v>
      </c>
      <c r="U43" s="9" cm="1">
        <f t="array" ref="U43">[1]!s_dq_close(U$6,$A43,1)</f>
        <v>7.2037000000000004</v>
      </c>
      <c r="V43" s="9" cm="1">
        <f t="array" ref="V43">[1]!s_dq_close(V$6,$A43,1)</f>
        <v>100.9828</v>
      </c>
      <c r="W43" s="11" cm="1">
        <f t="array" ref="W43">[1]!s_dq_close(W$6,$A43,1)</f>
        <v>751.8</v>
      </c>
      <c r="X43" s="11" cm="1">
        <f t="array" ref="X43">[1]!s_dq_close(X$6,$A43,1)</f>
        <v>3205.3</v>
      </c>
      <c r="Y43" s="11" cm="1">
        <f t="array" ref="Y43">[1]!s_dq_close(Y$6,$A43,1)</f>
        <v>61.93</v>
      </c>
      <c r="Z43" s="11" cm="1">
        <f t="array" ref="Z43">[1]!s_dq_close(Z$6,$A43,1)</f>
        <v>65.33</v>
      </c>
      <c r="AA43" s="12" cm="1">
        <f t="array" ref="AA43">[1]!s_dq_oi(AA$6,$A43)</f>
        <v>2536619</v>
      </c>
      <c r="AB43" s="12" cm="1">
        <f t="array" ref="AB43">[1]!s_dq_close(AB$6,$A43,1)</f>
        <v>2899</v>
      </c>
      <c r="AC43" s="12" cm="1">
        <f t="array" ref="AC43">[1]!s_dq_close(AC$6,$A43,1)</f>
        <v>3115.71</v>
      </c>
      <c r="AD43" s="12" cm="1">
        <f t="array" ref="AD43">[1]!s_dq_close(AD$6,$A43,1)</f>
        <v>3082</v>
      </c>
      <c r="AE43" s="12" cm="1">
        <f t="array" ref="AE43">[1]!s_dq_close(AE$6,$A43,1)</f>
        <v>3226</v>
      </c>
      <c r="AF43" s="12" cm="1">
        <f t="array" ref="AF43">[1]!s_dq_close(AF$6,$A43,1)</f>
        <v>728</v>
      </c>
      <c r="AG43" s="12">
        <f>[1]!s_dq_close($AG$6,$A43)</f>
        <v>-2085</v>
      </c>
      <c r="AH43" s="11">
        <f>[1]!s_dq_close($AH$6,A43)</f>
        <v>7.2098000000000004</v>
      </c>
    </row>
    <row r="44" spans="1:34">
      <c r="A44" s="5">
        <v>45788</v>
      </c>
      <c r="B44" s="6">
        <v>1.6351</v>
      </c>
      <c r="C44" s="6">
        <v>1.6641999999999999</v>
      </c>
      <c r="D44" s="6">
        <v>1.8084</v>
      </c>
      <c r="E44" s="6">
        <v>4.37</v>
      </c>
      <c r="F44" s="6">
        <v>1.4746999999999999</v>
      </c>
      <c r="G44" s="6">
        <v>1.7338</v>
      </c>
      <c r="H44" s="6">
        <v>4.05</v>
      </c>
      <c r="I44" s="6">
        <v>1.4296</v>
      </c>
      <c r="J44" s="10">
        <v>2.08</v>
      </c>
      <c r="K44" s="10">
        <v>220.5</v>
      </c>
      <c r="L44" s="10"/>
      <c r="M44" s="1" cm="1">
        <f t="array" ref="M44">[1]!s_val_pe_ttm(M$6,$A44)</f>
        <v>14.459699630737299</v>
      </c>
      <c r="N44" s="1" cm="1">
        <f t="array" ref="N44">[1]!s_val_pe_ttm(N$6,$A44)</f>
        <v>25.292100906372099</v>
      </c>
      <c r="O44" s="1" cm="1">
        <f t="array" ref="O44">[1]!s_val_pb_lf(O$6,$A44)</f>
        <v>1.3043999671936</v>
      </c>
      <c r="P44" s="1" cm="1">
        <f t="array" ref="P44">[1]!s_val_pb_lf(P$6,$A44)</f>
        <v>4.7246999740600604</v>
      </c>
      <c r="Q44" s="1">
        <f>[1]!cb_anal_convpremiumratio($Q$6,A44-2)</f>
        <v>48.3644868644068</v>
      </c>
      <c r="S44" s="1">
        <f>[1]!cb_anal_straightbondpremiumratio($S$6,A44-3)</f>
        <v>0</v>
      </c>
      <c r="T44" s="9" cm="1">
        <f t="array" ref="T44">[1]!s_dq_close(T$6,$A44,1)</f>
        <v>21.9</v>
      </c>
      <c r="U44" s="9" cm="1">
        <f t="array" ref="U44">[1]!s_dq_close(U$6,$A44,1)</f>
        <v>7.2461000000000002</v>
      </c>
      <c r="V44" s="9" cm="1">
        <f t="array" ref="V44">[1]!s_dq_close(V$6,$A44,1)</f>
        <v>100.4218</v>
      </c>
      <c r="W44" s="11" cm="1">
        <f t="array" ref="W44">[1]!s_dq_close(W$6,$A44,1)</f>
        <v>788.42</v>
      </c>
      <c r="X44" s="11" cm="1">
        <f t="array" ref="X44">[1]!s_dq_close(X$6,$A44,1)</f>
        <v>3329.1</v>
      </c>
      <c r="Y44" s="11" cm="1">
        <f t="array" ref="Y44">[1]!s_dq_close(Y$6,$A44,1)</f>
        <v>61.06</v>
      </c>
      <c r="Z44" s="11" cm="1">
        <f t="array" ref="Z44">[1]!s_dq_close(Z$6,$A44,1)</f>
        <v>63.88</v>
      </c>
      <c r="AA44" s="12" cm="1">
        <f t="array" ref="AA44">[1]!s_dq_oi(AA$6,$A44)</f>
        <v>2607876</v>
      </c>
      <c r="AB44" s="12" cm="1">
        <f t="array" ref="AB44">[1]!s_dq_close(AB$6,$A44,1)</f>
        <v>2899</v>
      </c>
      <c r="AC44" s="12" cm="1">
        <f t="array" ref="AC44">[1]!s_dq_close(AC$6,$A44,1)</f>
        <v>3312.29</v>
      </c>
      <c r="AD44" s="12" cm="1">
        <f t="array" ref="AD44">[1]!s_dq_close(AD$6,$A44,1)</f>
        <v>3022</v>
      </c>
      <c r="AE44" s="12" cm="1">
        <f t="array" ref="AE44">[1]!s_dq_close(AE$6,$A44,1)</f>
        <v>3157</v>
      </c>
      <c r="AF44" s="12" cm="1">
        <f t="array" ref="AF44">[1]!s_dq_close(AF$6,$A44,1)</f>
        <v>696</v>
      </c>
      <c r="AG44" s="12">
        <f>[1]!s_dq_close($AG$6,$A44)</f>
        <v>-2100</v>
      </c>
      <c r="AH44" s="11">
        <f>[1]!s_dq_close($AH$6,A44)</f>
        <v>7.2401999999999997</v>
      </c>
    </row>
    <row r="45" spans="1:34">
      <c r="A45" s="5">
        <v>45781</v>
      </c>
      <c r="B45" s="6">
        <v>1.6243000000000001</v>
      </c>
      <c r="C45" s="6">
        <v>1.6591</v>
      </c>
      <c r="D45" s="6">
        <v>1.8812</v>
      </c>
      <c r="E45" s="6">
        <v>4.33</v>
      </c>
      <c r="F45" s="6">
        <v>1.5656000000000001</v>
      </c>
      <c r="G45" s="6">
        <v>1.7966</v>
      </c>
      <c r="H45" s="6">
        <v>4</v>
      </c>
      <c r="I45" s="6">
        <v>1.4507000000000001</v>
      </c>
      <c r="J45" s="10">
        <v>2.06</v>
      </c>
      <c r="K45" s="10">
        <v>220.2</v>
      </c>
      <c r="L45" s="10"/>
      <c r="M45" s="1" cm="1">
        <f t="array" ref="M45">[1]!s_val_pe_ttm(M$6,$A45)</f>
        <v>14.2125997543335</v>
      </c>
      <c r="N45" s="1" cm="1">
        <f t="array" ref="N45">[1]!s_val_pe_ttm(N$6,$A45)</f>
        <v>25.448200225830099</v>
      </c>
      <c r="O45" s="1" cm="1">
        <f t="array" ref="O45">[1]!s_val_pb_lf(O$6,$A45)</f>
        <v>1.2799999713897701</v>
      </c>
      <c r="P45" s="1" cm="1">
        <f t="array" ref="P45">[1]!s_val_pb_lf(P$6,$A45)</f>
        <v>4.7662000656127903</v>
      </c>
      <c r="Q45" s="1">
        <f>[1]!cb_anal_convpremiumratio($Q$6,A45-2)</f>
        <v>0</v>
      </c>
      <c r="S45" s="1">
        <f>[1]!cb_anal_straightbondpremiumratio($S$6,A45-3)</f>
        <v>0</v>
      </c>
      <c r="T45" s="9" cm="1">
        <f t="array" ref="T45">[1]!s_dq_close(T$6,$A45,1)</f>
        <v>22.68</v>
      </c>
      <c r="U45" s="9" cm="1">
        <f t="array" ref="U45">[1]!s_dq_close(U$6,$A45,1)</f>
        <v>7.2632000000000003</v>
      </c>
      <c r="V45" s="9" cm="1">
        <f t="array" ref="V45">[1]!s_dq_close(V$6,$A45,1)</f>
        <v>100.0424</v>
      </c>
      <c r="W45" s="11" cm="1">
        <f t="array" ref="W45">[1]!s_dq_close(W$6,$A45,1)</f>
        <v>780.3</v>
      </c>
      <c r="X45" s="11" cm="1">
        <f t="array" ref="X45">[1]!s_dq_close(X$6,$A45,1)</f>
        <v>3247.4</v>
      </c>
      <c r="Y45" s="11" cm="1">
        <f t="array" ref="Y45">[1]!s_dq_close(Y$6,$A45,1)</f>
        <v>58.38</v>
      </c>
      <c r="Z45" s="11" cm="1">
        <f t="array" ref="Z45">[1]!s_dq_close(Z$6,$A45,1)</f>
        <v>61.45</v>
      </c>
      <c r="AA45" s="12" cm="1">
        <f t="array" ref="AA45">[1]!s_dq_oi(AA$6,$A45)</f>
        <v>2453947</v>
      </c>
      <c r="AB45" s="12" cm="1">
        <f t="array" ref="AB45">[1]!s_dq_close(AB$6,$A45,1)</f>
        <v>2920</v>
      </c>
      <c r="AC45" s="12" cm="1">
        <f t="array" ref="AC45">[1]!s_dq_close(AC$6,$A45,1)</f>
        <v>3544.57</v>
      </c>
      <c r="AD45" s="12" cm="1">
        <f t="array" ref="AD45">[1]!s_dq_close(AD$6,$A45,1)</f>
        <v>3096</v>
      </c>
      <c r="AE45" s="12" cm="1">
        <f t="array" ref="AE45">[1]!s_dq_close(AE$6,$A45,1)</f>
        <v>3204</v>
      </c>
      <c r="AF45" s="12" cm="1">
        <f t="array" ref="AF45">[1]!s_dq_close(AF$6,$A45,1)</f>
        <v>703.5</v>
      </c>
      <c r="AG45" s="12">
        <f>[1]!s_dq_close($AG$6,$A45)</f>
        <v>-1953</v>
      </c>
      <c r="AH45" s="11">
        <f>[1]!s_dq_close($AH$6,A45)</f>
        <v>7.2112999999999996</v>
      </c>
    </row>
    <row r="46" spans="1:34">
      <c r="A46" s="5">
        <v>45774</v>
      </c>
      <c r="B46" s="6">
        <v>1.6607000000000001</v>
      </c>
      <c r="C46" s="6">
        <v>1.6951000000000001</v>
      </c>
      <c r="D46" s="6">
        <v>1.9237</v>
      </c>
      <c r="E46" s="6">
        <v>4.29</v>
      </c>
      <c r="F46" s="6">
        <v>1.5698000000000001</v>
      </c>
      <c r="G46" s="6">
        <v>1.8147</v>
      </c>
      <c r="H46" s="6">
        <v>3.95</v>
      </c>
      <c r="I46" s="6">
        <v>1.4787999999999999</v>
      </c>
      <c r="J46" s="10">
        <v>2.02</v>
      </c>
      <c r="K46" s="10">
        <v>0</v>
      </c>
      <c r="L46" s="10"/>
      <c r="M46" s="1" cm="1">
        <f t="array" ref="M46">[1]!s_val_pe_ttm(M$6,$A46)</f>
        <v>14.1745004653931</v>
      </c>
      <c r="N46" s="1" cm="1">
        <f t="array" ref="N46">[1]!s_val_pe_ttm(N$6,$A46)</f>
        <v>24.732000350952099</v>
      </c>
      <c r="O46" s="1" cm="1">
        <f t="array" ref="O46">[1]!s_val_pb_lf(O$6,$A46)</f>
        <v>1.307000041008</v>
      </c>
      <c r="P46" s="1" cm="1">
        <f t="array" ref="P46">[1]!s_val_pb_lf(P$6,$A46)</f>
        <v>4.6680002212524396</v>
      </c>
      <c r="Q46" s="1">
        <f>[1]!cb_anal_convpremiumratio($Q$6,A46-2)</f>
        <v>52.595971551724197</v>
      </c>
      <c r="S46" s="1">
        <f>[1]!cb_anal_straightbondpremiumratio($S$6,A46-3)</f>
        <v>0</v>
      </c>
      <c r="T46" s="9" cm="1">
        <f t="array" ref="T46">[1]!s_dq_close(T$6,$A46,1)</f>
        <v>24.84</v>
      </c>
      <c r="U46" s="9" cm="1">
        <f t="array" ref="U46">[1]!s_dq_close(U$6,$A46,1)</f>
        <v>7.2831999999999999</v>
      </c>
      <c r="V46" s="9" cm="1">
        <f t="array" ref="V46">[1]!s_dq_close(V$6,$A46,1)</f>
        <v>99.583600000000004</v>
      </c>
      <c r="W46" s="11" cm="1">
        <f t="array" ref="W46">[1]!s_dq_close(W$6,$A46,1)</f>
        <v>787.2</v>
      </c>
      <c r="X46" s="11" cm="1">
        <f t="array" ref="X46">[1]!s_dq_close(X$6,$A46,1)</f>
        <v>3330.2</v>
      </c>
      <c r="Y46" s="11" cm="1">
        <f t="array" ref="Y46">[1]!s_dq_close(Y$6,$A46,1)</f>
        <v>63.17</v>
      </c>
      <c r="Z46" s="11" cm="1">
        <f t="array" ref="Z46">[1]!s_dq_close(Z$6,$A46,1)</f>
        <v>65.83</v>
      </c>
      <c r="AA46" s="12" cm="1">
        <f t="array" ref="AA46">[1]!s_dq_oi(AA$6,$A46)</f>
        <v>2437193</v>
      </c>
      <c r="AB46" s="12" cm="1">
        <f t="array" ref="AB46">[1]!s_dq_close(AB$6,$A46,1)</f>
        <v>3031</v>
      </c>
      <c r="AC46" s="12" cm="1">
        <f t="array" ref="AC46">[1]!s_dq_close(AC$6,$A46,1)</f>
        <v>3860</v>
      </c>
      <c r="AD46" s="12" cm="1">
        <f t="array" ref="AD46">[1]!s_dq_close(AD$6,$A46,1)</f>
        <v>3101</v>
      </c>
      <c r="AE46" s="12" cm="1">
        <f t="array" ref="AE46">[1]!s_dq_close(AE$6,$A46,1)</f>
        <v>3204</v>
      </c>
      <c r="AF46" s="12" cm="1">
        <f t="array" ref="AF46">[1]!s_dq_close(AF$6,$A46,1)</f>
        <v>709</v>
      </c>
      <c r="AG46" s="12">
        <f>[1]!s_dq_close($AG$6,$A46)</f>
        <v>-2016</v>
      </c>
      <c r="AH46" s="11">
        <f>[1]!s_dq_close($AH$6,A46)</f>
        <v>7.2888999999999999</v>
      </c>
    </row>
    <row r="47" spans="1:34">
      <c r="A47" s="5">
        <v>45767</v>
      </c>
      <c r="B47" s="6">
        <v>1.6493</v>
      </c>
      <c r="C47" s="6">
        <v>1.681</v>
      </c>
      <c r="D47" s="6">
        <v>1.8697999999999999</v>
      </c>
      <c r="E47" s="6">
        <v>4.34</v>
      </c>
      <c r="F47" s="6">
        <v>1.5703</v>
      </c>
      <c r="G47" s="6">
        <v>1.8069999999999999</v>
      </c>
      <c r="H47" s="6">
        <v>3.99</v>
      </c>
      <c r="I47" s="6">
        <v>1.4495</v>
      </c>
      <c r="J47" s="10">
        <v>2.11</v>
      </c>
      <c r="K47" s="10">
        <v>222.9</v>
      </c>
      <c r="L47" s="10"/>
      <c r="M47" s="1" cm="1">
        <f t="array" ref="M47">[1]!s_val_pe_ttm(M$6,$A47)</f>
        <v>14.0558004379272</v>
      </c>
      <c r="N47" s="1" cm="1">
        <f t="array" ref="N47">[1]!s_val_pe_ttm(N$6,$A47)</f>
        <v>24.092399597168001</v>
      </c>
      <c r="O47" s="1" cm="1">
        <f t="array" ref="O47">[1]!s_val_pb_lf(O$6,$A47)</f>
        <v>1.30729997158051</v>
      </c>
      <c r="P47" s="1" cm="1">
        <f t="array" ref="P47">[1]!s_val_pb_lf(P$6,$A47)</f>
        <v>4.4897999763488796</v>
      </c>
      <c r="Q47" s="1">
        <f>[1]!cb_anal_convpremiumratio($Q$6,A47-2)</f>
        <v>54.0975170940171</v>
      </c>
      <c r="S47" s="1">
        <f>[1]!cb_anal_straightbondpremiumratio($S$6,A47-3)</f>
        <v>0</v>
      </c>
      <c r="T47" s="9" cm="1">
        <f t="array" ref="T47">[1]!s_dq_close(T$6,$A47,1)</f>
        <v>29.65</v>
      </c>
      <c r="U47" s="9" cm="1">
        <f t="array" ref="U47">[1]!s_dq_close(U$6,$A47,1)</f>
        <v>7.3038999999999996</v>
      </c>
      <c r="V47" s="9" cm="1">
        <f t="array" ref="V47">[1]!s_dq_close(V$6,$A47,1)</f>
        <v>99.2286</v>
      </c>
      <c r="W47" s="11" cm="1">
        <f t="array" ref="W47">[1]!s_dq_close(W$6,$A47,1)</f>
        <v>791.02</v>
      </c>
      <c r="X47" s="11" cm="1">
        <f t="array" ref="X47">[1]!s_dq_close(X$6,$A47,1)</f>
        <v>3341.3</v>
      </c>
      <c r="Y47" s="11" cm="1">
        <f t="array" ref="Y47">[1]!s_dq_close(Y$6,$A47,1)</f>
        <v>63.75</v>
      </c>
      <c r="Z47" s="11" cm="1">
        <f t="array" ref="Z47">[1]!s_dq_close(Z$6,$A47,1)</f>
        <v>67.849999999999994</v>
      </c>
      <c r="AA47" s="12" cm="1">
        <f t="array" ref="AA47">[1]!s_dq_oi(AA$6,$A47)</f>
        <v>2414587</v>
      </c>
      <c r="AB47" s="12" cm="1">
        <f t="array" ref="AB47">[1]!s_dq_close(AB$6,$A47,1)</f>
        <v>3021</v>
      </c>
      <c r="AC47" s="12" cm="1">
        <f t="array" ref="AC47">[1]!s_dq_close(AC$6,$A47,1)</f>
        <v>3395.14</v>
      </c>
      <c r="AD47" s="12" cm="1">
        <f t="array" ref="AD47">[1]!s_dq_close(AD$6,$A47,1)</f>
        <v>3076</v>
      </c>
      <c r="AE47" s="12" cm="1">
        <f t="array" ref="AE47">[1]!s_dq_close(AE$6,$A47,1)</f>
        <v>3181</v>
      </c>
      <c r="AF47" s="12" cm="1">
        <f t="array" ref="AF47">[1]!s_dq_close(AF$6,$A47,1)</f>
        <v>699</v>
      </c>
      <c r="AG47" s="12">
        <f>[1]!s_dq_close($AG$6,$A47)</f>
        <v>-2104</v>
      </c>
      <c r="AH47" s="11">
        <f>[1]!s_dq_close($AH$6,A47)</f>
        <v>7.3037000000000001</v>
      </c>
    </row>
    <row r="48" spans="1:34">
      <c r="A48" s="5">
        <v>45760</v>
      </c>
      <c r="B48" s="6">
        <v>1.6568000000000001</v>
      </c>
      <c r="C48" s="6">
        <v>1.7</v>
      </c>
      <c r="D48" s="6">
        <v>1.8663000000000001</v>
      </c>
      <c r="E48" s="6">
        <v>4.4800000000000004</v>
      </c>
      <c r="F48" s="6">
        <v>1.5550999999999999</v>
      </c>
      <c r="G48" s="6">
        <v>1.7901</v>
      </c>
      <c r="H48" s="6">
        <v>4.04</v>
      </c>
      <c r="I48" s="6">
        <v>1.3978999999999999</v>
      </c>
      <c r="J48" s="10">
        <v>2.2799999999999998</v>
      </c>
      <c r="K48" s="10">
        <v>219.7</v>
      </c>
      <c r="L48" s="10"/>
      <c r="M48" s="1" cm="1">
        <f t="array" ref="M48">[1]!s_val_pe_ttm(M$6,$A48)</f>
        <v>13.83899974823</v>
      </c>
      <c r="N48" s="1" cm="1">
        <f t="array" ref="N48">[1]!s_val_pe_ttm(N$6,$A48)</f>
        <v>24.713499069213899</v>
      </c>
      <c r="O48" s="1" cm="1">
        <f t="array" ref="O48">[1]!s_val_pb_lf(O$6,$A48)</f>
        <v>1.2877999544143699</v>
      </c>
      <c r="P48" s="1" cm="1">
        <f t="array" ref="P48">[1]!s_val_pb_lf(P$6,$A48)</f>
        <v>4.5715999603271502</v>
      </c>
      <c r="Q48" s="1">
        <f>[1]!cb_anal_convpremiumratio($Q$6,A48-2)</f>
        <v>55.548992765957401</v>
      </c>
      <c r="S48" s="1">
        <f>[1]!cb_anal_straightbondpremiumratio($S$6,A48-3)</f>
        <v>0</v>
      </c>
      <c r="T48" s="9" cm="1">
        <f t="array" ref="T48">[1]!s_dq_close(T$6,$A48,1)</f>
        <v>37.56</v>
      </c>
      <c r="U48" s="9" cm="1">
        <f t="array" ref="U48">[1]!s_dq_close(U$6,$A48,1)</f>
        <v>7.3244999999999996</v>
      </c>
      <c r="V48" s="9" cm="1">
        <f t="array" ref="V48">[1]!s_dq_close(V$6,$A48,1)</f>
        <v>99.769000000000005</v>
      </c>
      <c r="W48" s="11" cm="1">
        <f t="array" ref="W48">[1]!s_dq_close(W$6,$A48,1)</f>
        <v>757.3</v>
      </c>
      <c r="X48" s="11" cm="1">
        <f t="array" ref="X48">[1]!s_dq_close(X$6,$A48,1)</f>
        <v>3254.9</v>
      </c>
      <c r="Y48" s="11" cm="1">
        <f t="array" ref="Y48">[1]!s_dq_close(Y$6,$A48,1)</f>
        <v>61.48</v>
      </c>
      <c r="Z48" s="11" cm="1">
        <f t="array" ref="Z48">[1]!s_dq_close(Z$6,$A48,1)</f>
        <v>64.59</v>
      </c>
      <c r="AA48" s="12" cm="1">
        <f t="array" ref="AA48">[1]!s_dq_oi(AA$6,$A48)</f>
        <v>2368722</v>
      </c>
      <c r="AB48" s="12" cm="1">
        <f t="array" ref="AB48">[1]!s_dq_close(AB$6,$A48,1)</f>
        <v>3082</v>
      </c>
      <c r="AC48" s="12" cm="1">
        <f t="array" ref="AC48">[1]!s_dq_close(AC$6,$A48,1)</f>
        <v>3271.14</v>
      </c>
      <c r="AD48" s="12" cm="1">
        <f t="array" ref="AD48">[1]!s_dq_close(AD$6,$A48,1)</f>
        <v>3131</v>
      </c>
      <c r="AE48" s="12" cm="1">
        <f t="array" ref="AE48">[1]!s_dq_close(AE$6,$A48,1)</f>
        <v>3242</v>
      </c>
      <c r="AF48" s="12" cm="1">
        <f t="array" ref="AF48">[1]!s_dq_close(AF$6,$A48,1)</f>
        <v>708</v>
      </c>
      <c r="AG48" s="12">
        <f>[1]!s_dq_close($AG$6,$A48)</f>
        <v>-2105</v>
      </c>
      <c r="AH48" s="11">
        <f>[1]!s_dq_close($AH$6,A48)</f>
        <v>7.2812999999999999</v>
      </c>
    </row>
    <row r="49" spans="1:34">
      <c r="A49" s="5">
        <v>45753</v>
      </c>
      <c r="B49" s="6">
        <v>1.718</v>
      </c>
      <c r="C49" s="6">
        <v>1.7384999999999999</v>
      </c>
      <c r="D49" s="6">
        <v>1.9330000000000001</v>
      </c>
      <c r="E49" s="6">
        <v>4.01</v>
      </c>
      <c r="F49" s="6">
        <v>1.5948</v>
      </c>
      <c r="G49" s="6">
        <v>1.8802000000000001</v>
      </c>
      <c r="H49" s="6">
        <v>3.86</v>
      </c>
      <c r="I49" s="6">
        <v>1.4853000000000001</v>
      </c>
      <c r="J49" s="10">
        <v>1.83</v>
      </c>
      <c r="K49" s="10">
        <v>212.5</v>
      </c>
      <c r="L49" s="10"/>
      <c r="M49" s="1" cm="1">
        <f t="array" ref="M49">[1]!s_val_pe_ttm(M$6,$A49)</f>
        <v>14.244199752807599</v>
      </c>
      <c r="N49" s="1" cm="1">
        <f t="array" ref="N49">[1]!s_val_pe_ttm(N$6,$A49)</f>
        <v>23.415399551391602</v>
      </c>
      <c r="O49" s="1" cm="1">
        <f t="array" ref="O49">[1]!s_val_pb_lf(O$6,$A49)</f>
        <v>1.32679998874664</v>
      </c>
      <c r="P49" s="1" cm="1">
        <f t="array" ref="P49">[1]!s_val_pb_lf(P$6,$A49)</f>
        <v>4.3239002227783203</v>
      </c>
      <c r="Q49" s="1">
        <f>[1]!cb_anal_convpremiumratio($Q$6,A49-2)</f>
        <v>0</v>
      </c>
      <c r="S49" s="1">
        <f>[1]!cb_anal_straightbondpremiumratio($S$6,A49-3)</f>
        <v>0</v>
      </c>
      <c r="T49" s="9" cm="1">
        <f t="array" ref="T49">[1]!s_dq_close(T$6,$A49,1)</f>
        <v>45.31</v>
      </c>
      <c r="U49" s="9" cm="1">
        <f t="array" ref="U49">[1]!s_dq_close(U$6,$A49,1)</f>
        <v>7.3042999999999996</v>
      </c>
      <c r="V49" s="9" cm="1">
        <f t="array" ref="V49">[1]!s_dq_close(V$6,$A49,1)</f>
        <v>102.91889999999999</v>
      </c>
      <c r="W49" s="11" cm="1">
        <f t="array" ref="W49">[1]!s_dq_close(W$6,$A49,1)</f>
        <v>739.04</v>
      </c>
      <c r="X49" s="11" cm="1">
        <f t="array" ref="X49">[1]!s_dq_close(X$6,$A49,1)</f>
        <v>3056.1</v>
      </c>
      <c r="Y49" s="11" cm="1">
        <f t="array" ref="Y49">[1]!s_dq_close(Y$6,$A49,1)</f>
        <v>62.32</v>
      </c>
      <c r="Z49" s="11" cm="1">
        <f t="array" ref="Z49">[1]!s_dq_close(Z$6,$A49,1)</f>
        <v>66.06</v>
      </c>
      <c r="AA49" s="12" cm="1">
        <f t="array" ref="AA49">[1]!s_dq_oi(AA$6,$A49)</f>
        <v>1108276</v>
      </c>
      <c r="AB49" s="12" cm="1">
        <f t="array" ref="AB49">[1]!s_dq_close(AB$6,$A49,1)</f>
        <v>2865</v>
      </c>
      <c r="AC49" s="12" cm="1">
        <f t="array" ref="AC49">[1]!s_dq_close(AC$6,$A49,1)</f>
        <v>3129.14</v>
      </c>
      <c r="AD49" s="12" cm="1">
        <f t="array" ref="AD49">[1]!s_dq_close(AD$6,$A49,1)</f>
        <v>3164</v>
      </c>
      <c r="AE49" s="12" cm="1">
        <f t="array" ref="AE49">[1]!s_dq_close(AE$6,$A49,1)</f>
        <v>3360</v>
      </c>
      <c r="AF49" s="12" cm="1">
        <f t="array" ref="AF49">[1]!s_dq_close(AF$6,$A49,1)</f>
        <v>788.5</v>
      </c>
      <c r="AG49" s="12">
        <f>[1]!s_dq_close($AG$6,$A49)</f>
        <v>-2037</v>
      </c>
      <c r="AH49" s="11">
        <f>[1]!s_dq_close($AH$6,A49)</f>
        <v>7.2965999999999998</v>
      </c>
    </row>
    <row r="50" spans="1:34">
      <c r="A50" s="5">
        <v>45746</v>
      </c>
      <c r="B50" s="6">
        <v>1.8126</v>
      </c>
      <c r="C50" s="6">
        <v>1.8583000000000001</v>
      </c>
      <c r="D50" s="6">
        <v>1.9821</v>
      </c>
      <c r="E50" s="6">
        <v>4.2699999999999996</v>
      </c>
      <c r="F50" s="6">
        <v>1.6473</v>
      </c>
      <c r="G50" s="6">
        <v>1.9389000000000001</v>
      </c>
      <c r="H50" s="6">
        <v>4.04</v>
      </c>
      <c r="I50" s="6">
        <v>1.5302</v>
      </c>
      <c r="J50" s="10">
        <v>1.9</v>
      </c>
      <c r="K50" s="10">
        <v>0</v>
      </c>
      <c r="L50" s="10"/>
      <c r="M50" s="1" cm="1">
        <f t="array" ref="M50">[1]!s_val_pe_ttm(M$6,$A50)</f>
        <v>14.277299880981399</v>
      </c>
      <c r="N50" s="1" cm="1">
        <f t="array" ref="N50">[1]!s_val_pe_ttm(N$6,$A50)</f>
        <v>25.704200744628899</v>
      </c>
      <c r="O50" s="1" cm="1">
        <f t="array" ref="O50">[1]!s_val_pb_lf(O$6,$A50)</f>
        <v>1.3372999429702801</v>
      </c>
      <c r="P50" s="1" cm="1">
        <f t="array" ref="P50">[1]!s_val_pb_lf(P$6,$A50)</f>
        <v>4.7473001480102504</v>
      </c>
      <c r="Q50" s="1">
        <f>[1]!cb_anal_convpremiumratio($Q$6,A50-2)</f>
        <v>45.346391772151897</v>
      </c>
      <c r="S50" s="1">
        <f>[1]!cb_anal_straightbondpremiumratio($S$6,A50-3)</f>
        <v>0</v>
      </c>
      <c r="T50" s="9" cm="1">
        <f t="array" ref="T50">[1]!s_dq_close(T$6,$A50,1)</f>
        <v>21.65</v>
      </c>
      <c r="U50" s="9" cm="1">
        <f t="array" ref="U50">[1]!s_dq_close(U$6,$A50,1)</f>
        <v>7.2637</v>
      </c>
      <c r="V50" s="9" cm="1">
        <f t="array" ref="V50">[1]!s_dq_close(V$6,$A50,1)</f>
        <v>104.03360000000001</v>
      </c>
      <c r="W50" s="11" cm="1">
        <f t="array" ref="W50">[1]!s_dq_close(W$6,$A50,1)</f>
        <v>722.8</v>
      </c>
      <c r="X50" s="11" cm="1">
        <f t="array" ref="X50">[1]!s_dq_close(X$6,$A50,1)</f>
        <v>3118</v>
      </c>
      <c r="Y50" s="11" cm="1">
        <f t="array" ref="Y50">[1]!s_dq_close(Y$6,$A50,1)</f>
        <v>69.040000000000006</v>
      </c>
      <c r="Z50" s="11" cm="1">
        <f t="array" ref="Z50">[1]!s_dq_close(Z$6,$A50,1)</f>
        <v>72.540000000000006</v>
      </c>
      <c r="AA50" s="12" cm="1">
        <f t="array" ref="AA50">[1]!s_dq_oi(AA$6,$A50)</f>
        <v>1486764</v>
      </c>
      <c r="AB50" s="12" cm="1">
        <f t="array" ref="AB50">[1]!s_dq_close(AB$6,$A50,1)</f>
        <v>2813</v>
      </c>
      <c r="AC50" s="12" cm="1">
        <f t="array" ref="AC50">[1]!s_dq_close(AC$6,$A50,1)</f>
        <v>3168.86</v>
      </c>
      <c r="AD50" s="12" cm="1">
        <f t="array" ref="AD50">[1]!s_dq_close(AD$6,$A50,1)</f>
        <v>3197</v>
      </c>
      <c r="AE50" s="12" cm="1">
        <f t="array" ref="AE50">[1]!s_dq_close(AE$6,$A50,1)</f>
        <v>3374</v>
      </c>
      <c r="AF50" s="12" cm="1">
        <f t="array" ref="AF50">[1]!s_dq_close(AF$6,$A50,1)</f>
        <v>785.5</v>
      </c>
      <c r="AG50" s="12">
        <f>[1]!s_dq_close($AG$6,$A50)</f>
        <v>-1991</v>
      </c>
      <c r="AH50" s="11">
        <f>[1]!s_dq_close($AH$6,A50)</f>
        <v>7.2697000000000003</v>
      </c>
    </row>
    <row r="51" spans="1:34">
      <c r="A51" s="5">
        <v>45739</v>
      </c>
      <c r="B51" s="6">
        <v>1.8458000000000001</v>
      </c>
      <c r="C51" s="6">
        <v>1.8783000000000001</v>
      </c>
      <c r="D51" s="6">
        <v>1.9970000000000001</v>
      </c>
      <c r="E51" s="6">
        <v>4.25</v>
      </c>
      <c r="F51" s="6">
        <v>1.6523000000000001</v>
      </c>
      <c r="G51" s="6">
        <v>1.9710000000000001</v>
      </c>
      <c r="H51" s="6">
        <v>4.04</v>
      </c>
      <c r="I51" s="6">
        <v>1.5804</v>
      </c>
      <c r="J51" s="10">
        <v>1.92</v>
      </c>
      <c r="K51" s="10">
        <v>216.6</v>
      </c>
      <c r="L51" s="10"/>
      <c r="M51" s="1" cm="1">
        <f t="array" ref="M51">[1]!s_val_pe_ttm(M$6,$A51)</f>
        <v>14.393699645996101</v>
      </c>
      <c r="N51" s="1" cm="1">
        <f t="array" ref="N51">[1]!s_val_pe_ttm(N$6,$A51)</f>
        <v>26.077299118041999</v>
      </c>
      <c r="O51" s="1" cm="1">
        <f t="array" ref="O51">[1]!s_val_pb_lf(O$6,$A51)</f>
        <v>1.3474999666214</v>
      </c>
      <c r="P51" s="1" cm="1">
        <f t="array" ref="P51">[1]!s_val_pb_lf(P$6,$A51)</f>
        <v>4.8215999603271502</v>
      </c>
      <c r="Q51" s="1">
        <f>[1]!cb_anal_convpremiumratio($Q$6,A51-2)</f>
        <v>42.615479045643099</v>
      </c>
      <c r="S51" s="1">
        <f>[1]!cb_anal_straightbondpremiumratio($S$6,A51-3)</f>
        <v>0</v>
      </c>
      <c r="T51" s="9" cm="1">
        <f t="array" ref="T51">[1]!s_dq_close(T$6,$A51,1)</f>
        <v>19.28</v>
      </c>
      <c r="U51" s="9" cm="1">
        <f t="array" ref="U51">[1]!s_dq_close(U$6,$A51,1)</f>
        <v>7.2488999999999999</v>
      </c>
      <c r="V51" s="9" cm="1">
        <f t="array" ref="V51">[1]!s_dq_close(V$6,$A51,1)</f>
        <v>104.154</v>
      </c>
      <c r="W51" s="11" cm="1">
        <f t="array" ref="W51">[1]!s_dq_close(W$6,$A51,1)</f>
        <v>706.96</v>
      </c>
      <c r="X51" s="11" cm="1">
        <f t="array" ref="X51">[1]!s_dq_close(X$6,$A51,1)</f>
        <v>3028.2</v>
      </c>
      <c r="Y51" s="11" cm="1">
        <f t="array" ref="Y51">[1]!s_dq_close(Y$6,$A51,1)</f>
        <v>68.290000000000006</v>
      </c>
      <c r="Z51" s="11" cm="1">
        <f t="array" ref="Z51">[1]!s_dq_close(Z$6,$A51,1)</f>
        <v>71.67</v>
      </c>
      <c r="AA51" s="12" cm="1">
        <f t="array" ref="AA51">[1]!s_dq_oi(AA$6,$A51)</f>
        <v>1776189</v>
      </c>
      <c r="AB51" s="12" cm="1">
        <f t="array" ref="AB51">[1]!s_dq_close(AB$6,$A51,1)</f>
        <v>2861</v>
      </c>
      <c r="AC51" s="12" cm="1">
        <f t="array" ref="AC51">[1]!s_dq_close(AC$6,$A51,1)</f>
        <v>3320.57</v>
      </c>
      <c r="AD51" s="12" cm="1">
        <f t="array" ref="AD51">[1]!s_dq_close(AD$6,$A51,1)</f>
        <v>3156</v>
      </c>
      <c r="AE51" s="12" cm="1">
        <f t="array" ref="AE51">[1]!s_dq_close(AE$6,$A51,1)</f>
        <v>3351</v>
      </c>
      <c r="AF51" s="12" cm="1">
        <f t="array" ref="AF51">[1]!s_dq_close(AF$6,$A51,1)</f>
        <v>757.5</v>
      </c>
      <c r="AG51" s="12">
        <f>[1]!s_dq_close($AG$6,$A51)</f>
        <v>-1973</v>
      </c>
      <c r="AH51" s="11">
        <f>[1]!s_dq_close($AH$6,A51)</f>
        <v>7.2579000000000002</v>
      </c>
    </row>
    <row r="52" spans="1:34">
      <c r="A52" s="5">
        <v>45732</v>
      </c>
      <c r="B52" s="6">
        <v>1.8317000000000001</v>
      </c>
      <c r="C52" s="6">
        <v>1.8506</v>
      </c>
      <c r="D52" s="6">
        <v>2.0655999999999999</v>
      </c>
      <c r="E52" s="6">
        <v>4.3099999999999996</v>
      </c>
      <c r="F52" s="6">
        <v>1.6779999999999999</v>
      </c>
      <c r="G52" s="6">
        <v>2.0365000000000002</v>
      </c>
      <c r="H52" s="6">
        <v>4.09</v>
      </c>
      <c r="I52" s="6">
        <v>1.5474000000000001</v>
      </c>
      <c r="J52" s="10">
        <v>2.0099999999999998</v>
      </c>
      <c r="K52" s="10">
        <v>213.2</v>
      </c>
      <c r="L52" s="10"/>
      <c r="M52" s="1" cm="1">
        <f t="array" ref="M52">[1]!s_val_pe_ttm(M$6,$A52)</f>
        <v>14.6722002029419</v>
      </c>
      <c r="N52" s="1" cm="1">
        <f t="array" ref="N52">[1]!s_val_pe_ttm(N$6,$A52)</f>
        <v>25.951900482177699</v>
      </c>
      <c r="O52" s="1" cm="1">
        <f t="array" ref="O52">[1]!s_val_pb_lf(O$6,$A52)</f>
        <v>1.3730000257492101</v>
      </c>
      <c r="P52" s="1" cm="1">
        <f t="array" ref="P52">[1]!s_val_pb_lf(P$6,$A52)</f>
        <v>4.7979998588562003</v>
      </c>
      <c r="Q52" s="1">
        <f>[1]!cb_anal_convpremiumratio($Q$6,A52-2)</f>
        <v>43.664274897119299</v>
      </c>
      <c r="S52" s="1">
        <f>[1]!cb_anal_straightbondpremiumratio($S$6,A52-3)</f>
        <v>0</v>
      </c>
      <c r="T52" s="9" cm="1">
        <f t="array" ref="T52">[1]!s_dq_close(T$6,$A52,1)</f>
        <v>21.77</v>
      </c>
      <c r="U52" s="9" cm="1">
        <f t="array" ref="U52">[1]!s_dq_close(U$6,$A52,1)</f>
        <v>7.2287999999999997</v>
      </c>
      <c r="V52" s="9" cm="1">
        <f t="array" ref="V52">[1]!s_dq_close(V$6,$A52,1)</f>
        <v>103.7363</v>
      </c>
      <c r="W52" s="11" cm="1">
        <f t="array" ref="W52">[1]!s_dq_close(W$6,$A52,1)</f>
        <v>694.96</v>
      </c>
      <c r="X52" s="11" cm="1">
        <f t="array" ref="X52">[1]!s_dq_close(X$6,$A52,1)</f>
        <v>2993.6</v>
      </c>
      <c r="Y52" s="11" cm="1">
        <f t="array" ref="Y52">[1]!s_dq_close(Y$6,$A52,1)</f>
        <v>67.19</v>
      </c>
      <c r="Z52" s="11" cm="1">
        <f t="array" ref="Z52">[1]!s_dq_close(Z$6,$A52,1)</f>
        <v>70.650000000000006</v>
      </c>
      <c r="AA52" s="12" cm="1">
        <f t="array" ref="AA52">[1]!s_dq_oi(AA$6,$A52)</f>
        <v>1942729</v>
      </c>
      <c r="AB52" s="12" cm="1">
        <f t="array" ref="AB52">[1]!s_dq_close(AB$6,$A52,1)</f>
        <v>2901</v>
      </c>
      <c r="AC52" s="12" cm="1">
        <f t="array" ref="AC52">[1]!s_dq_close(AC$6,$A52,1)</f>
        <v>3505.14</v>
      </c>
      <c r="AD52" s="12" cm="1">
        <f t="array" ref="AD52">[1]!s_dq_close(AD$6,$A52,1)</f>
        <v>3267</v>
      </c>
      <c r="AE52" s="12" cm="1">
        <f t="array" ref="AE52">[1]!s_dq_close(AE$6,$A52,1)</f>
        <v>3443</v>
      </c>
      <c r="AF52" s="12" cm="1">
        <f t="array" ref="AF52">[1]!s_dq_close(AF$6,$A52,1)</f>
        <v>794</v>
      </c>
      <c r="AG52" s="12">
        <f>[1]!s_dq_close($AG$6,$A52)</f>
        <v>-2014</v>
      </c>
      <c r="AH52" s="11">
        <f>[1]!s_dq_close($AH$6,A52)</f>
        <v>7.2382</v>
      </c>
    </row>
    <row r="53" spans="1:34">
      <c r="A53" s="5">
        <v>45725</v>
      </c>
      <c r="B53" s="6">
        <v>1.8002</v>
      </c>
      <c r="C53" s="6">
        <v>1.8035000000000001</v>
      </c>
      <c r="D53" s="6">
        <v>2.1093999999999999</v>
      </c>
      <c r="E53" s="6">
        <v>4.32</v>
      </c>
      <c r="F53" s="6">
        <v>1.6821999999999999</v>
      </c>
      <c r="G53" s="6">
        <v>2.0813999999999999</v>
      </c>
      <c r="H53" s="6">
        <v>4.05</v>
      </c>
      <c r="I53" s="6">
        <v>1.5069999999999999</v>
      </c>
      <c r="J53" s="10">
        <v>1.99</v>
      </c>
      <c r="K53" s="10">
        <v>0</v>
      </c>
      <c r="L53" s="10"/>
      <c r="M53" s="1" cm="1">
        <f t="array" ref="M53">[1]!s_val_pe_ttm(M$6,$A53)</f>
        <v>14.4781999588013</v>
      </c>
      <c r="N53" s="1" cm="1">
        <f t="array" ref="N53">[1]!s_val_pe_ttm(N$6,$A53)</f>
        <v>26.5207004547119</v>
      </c>
      <c r="O53" s="1" cm="1">
        <f t="array" ref="O53">[1]!s_val_pb_lf(O$6,$A53)</f>
        <v>1.3543000221252399</v>
      </c>
      <c r="P53" s="1" cm="1">
        <f t="array" ref="P53">[1]!s_val_pb_lf(P$6,$A53)</f>
        <v>4.91050004959106</v>
      </c>
      <c r="Q53" s="1">
        <f>[1]!cb_anal_convpremiumratio($Q$6,A53-2)</f>
        <v>46.915914052953198</v>
      </c>
      <c r="S53" s="1">
        <f>[1]!cb_anal_straightbondpremiumratio($S$6,A53-3)</f>
        <v>0</v>
      </c>
      <c r="T53" s="9" cm="1">
        <f t="array" ref="T53">[1]!s_dq_close(T$6,$A53,1)</f>
        <v>23.37</v>
      </c>
      <c r="U53" s="9" cm="1">
        <f t="array" ref="U53">[1]!s_dq_close(U$6,$A53,1)</f>
        <v>7.2382</v>
      </c>
      <c r="V53" s="9" cm="1">
        <f t="array" ref="V53">[1]!s_dq_close(V$6,$A53,1)</f>
        <v>103.89449999999999</v>
      </c>
      <c r="W53" s="11" cm="1">
        <f t="array" ref="W53">[1]!s_dq_close(W$6,$A53,1)</f>
        <v>679.48</v>
      </c>
      <c r="X53" s="11" cm="1">
        <f t="array" ref="X53">[1]!s_dq_close(X$6,$A53,1)</f>
        <v>2917.7</v>
      </c>
      <c r="Y53" s="11" cm="1">
        <f t="array" ref="Y53">[1]!s_dq_close(Y$6,$A53,1)</f>
        <v>67.05</v>
      </c>
      <c r="Z53" s="11" cm="1">
        <f t="array" ref="Z53">[1]!s_dq_close(Z$6,$A53,1)</f>
        <v>70.45</v>
      </c>
      <c r="AA53" s="12" cm="1">
        <f t="array" ref="AA53">[1]!s_dq_oi(AA$6,$A53)</f>
        <v>2200948</v>
      </c>
      <c r="AB53" s="12" cm="1">
        <f t="array" ref="AB53">[1]!s_dq_close(AB$6,$A53,1)</f>
        <v>2885</v>
      </c>
      <c r="AC53" s="12" cm="1">
        <f t="array" ref="AC53">[1]!s_dq_close(AC$6,$A53,1)</f>
        <v>3648.57</v>
      </c>
      <c r="AD53" s="12" cm="1">
        <f t="array" ref="AD53">[1]!s_dq_close(AD$6,$A53,1)</f>
        <v>3252</v>
      </c>
      <c r="AE53" s="12" cm="1">
        <f t="array" ref="AE53">[1]!s_dq_close(AE$6,$A53,1)</f>
        <v>3363</v>
      </c>
      <c r="AF53" s="12" cm="1">
        <f t="array" ref="AF53">[1]!s_dq_close(AF$6,$A53,1)</f>
        <v>774</v>
      </c>
      <c r="AG53" s="12">
        <f>[1]!s_dq_close($AG$6,$A53)</f>
        <v>-1958</v>
      </c>
      <c r="AH53" s="11">
        <f>[1]!s_dq_close($AH$6,A53)</f>
        <v>7.2435</v>
      </c>
    </row>
    <row r="54" spans="1:34">
      <c r="A54" s="5">
        <v>45718</v>
      </c>
      <c r="B54" s="6">
        <v>1.7152000000000001</v>
      </c>
      <c r="C54" s="6">
        <v>1.7430000000000001</v>
      </c>
      <c r="D54" s="6">
        <v>2.0750000000000002</v>
      </c>
      <c r="E54" s="6">
        <v>4.24</v>
      </c>
      <c r="F54" s="6">
        <v>1.6821999999999999</v>
      </c>
      <c r="G54" s="6">
        <v>2.081</v>
      </c>
      <c r="H54" s="6">
        <v>4.08</v>
      </c>
      <c r="I54" s="6">
        <v>1.4253</v>
      </c>
      <c r="J54" s="10">
        <v>1.86</v>
      </c>
      <c r="K54" s="10">
        <v>225.9</v>
      </c>
      <c r="L54" s="10"/>
      <c r="M54" s="1" cm="1">
        <f t="array" ref="M54">[1]!s_val_pe_ttm(M$6,$A54)</f>
        <v>14.334099769592299</v>
      </c>
      <c r="N54" s="1" cm="1">
        <f t="array" ref="N54">[1]!s_val_pe_ttm(N$6,$A54)</f>
        <v>27.378900527954102</v>
      </c>
      <c r="O54" s="1" cm="1">
        <f t="array" ref="O54">[1]!s_val_pb_lf(O$6,$A54)</f>
        <v>1.33510005474091</v>
      </c>
      <c r="P54" s="1" cm="1">
        <f t="array" ref="P54">[1]!s_val_pb_lf(P$6,$A54)</f>
        <v>5.0605001449584996</v>
      </c>
      <c r="Q54" s="1">
        <f>[1]!cb_anal_convpremiumratio($Q$6,A54-2)</f>
        <v>48.923947368421103</v>
      </c>
      <c r="S54" s="1">
        <f>[1]!cb_anal_straightbondpremiumratio($S$6,A54-3)</f>
        <v>0</v>
      </c>
      <c r="T54" s="9" cm="1">
        <f t="array" ref="T54">[1]!s_dq_close(T$6,$A54,1)</f>
        <v>19.63</v>
      </c>
      <c r="U54" s="9" cm="1">
        <f t="array" ref="U54">[1]!s_dq_close(U$6,$A54,1)</f>
        <v>7.2838000000000003</v>
      </c>
      <c r="V54" s="9" cm="1">
        <f t="array" ref="V54">[1]!s_dq_close(V$6,$A54,1)</f>
        <v>107.56440000000001</v>
      </c>
      <c r="W54" s="11" cm="1">
        <f t="array" ref="W54">[1]!s_dq_close(W$6,$A54,1)</f>
        <v>672.12</v>
      </c>
      <c r="X54" s="11" cm="1">
        <f t="array" ref="X54">[1]!s_dq_close(X$6,$A54,1)</f>
        <v>2867.3</v>
      </c>
      <c r="Y54" s="11" cm="1">
        <f t="array" ref="Y54">[1]!s_dq_close(Y$6,$A54,1)</f>
        <v>69.95</v>
      </c>
      <c r="Z54" s="11" cm="1">
        <f t="array" ref="Z54">[1]!s_dq_close(Z$6,$A54,1)</f>
        <v>73.08</v>
      </c>
      <c r="AA54" s="12" cm="1">
        <f t="array" ref="AA54">[1]!s_dq_oi(AA$6,$A54)</f>
        <v>2347894</v>
      </c>
      <c r="AB54" s="12" cm="1">
        <f t="array" ref="AB54">[1]!s_dq_close(AB$6,$A54,1)</f>
        <v>2932</v>
      </c>
      <c r="AC54" s="12" cm="1">
        <f t="array" ref="AC54">[1]!s_dq_close(AC$6,$A54,1)</f>
        <v>3729.14</v>
      </c>
      <c r="AD54" s="12" cm="1">
        <f t="array" ref="AD54">[1]!s_dq_close(AD$6,$A54,1)</f>
        <v>3328</v>
      </c>
      <c r="AE54" s="12" cm="1">
        <f t="array" ref="AE54">[1]!s_dq_close(AE$6,$A54,1)</f>
        <v>3425</v>
      </c>
      <c r="AF54" s="12" cm="1">
        <f t="array" ref="AF54">[1]!s_dq_close(AF$6,$A54,1)</f>
        <v>799.5</v>
      </c>
      <c r="AG54" s="12">
        <f>[1]!s_dq_close($AG$6,$A54)</f>
        <v>-2020</v>
      </c>
      <c r="AH54" s="11">
        <f>[1]!s_dq_close($AH$6,A54)</f>
        <v>7.2949999999999999</v>
      </c>
    </row>
    <row r="55" spans="1:34">
      <c r="A55" s="5">
        <v>45711</v>
      </c>
      <c r="B55" s="6">
        <v>1.72</v>
      </c>
      <c r="C55" s="6">
        <v>1.7302999999999999</v>
      </c>
      <c r="D55" s="6">
        <v>1.9756</v>
      </c>
      <c r="E55" s="6">
        <v>4.42</v>
      </c>
      <c r="F55" s="6">
        <v>1.6322000000000001</v>
      </c>
      <c r="G55" s="6">
        <v>1.9717</v>
      </c>
      <c r="H55" s="6">
        <v>4.1500000000000004</v>
      </c>
      <c r="I55" s="6">
        <v>1.4705999999999999</v>
      </c>
      <c r="J55" s="10">
        <v>2</v>
      </c>
      <c r="K55" s="10">
        <v>215.1</v>
      </c>
      <c r="L55" s="10"/>
      <c r="M55" s="1" cm="1">
        <f t="array" ref="M55">[1]!s_val_pe_ttm(M$6,$A55)</f>
        <v>14.568699836731</v>
      </c>
      <c r="N55" s="1" cm="1">
        <f t="array" ref="N55">[1]!s_val_pe_ttm(N$6,$A55)</f>
        <v>27.562299728393601</v>
      </c>
      <c r="O55" s="1" cm="1">
        <f t="array" ref="O55">[1]!s_val_pb_lf(O$6,$A55)</f>
        <v>1.36070001125336</v>
      </c>
      <c r="P55" s="1" cm="1">
        <f t="array" ref="P55">[1]!s_val_pb_lf(P$6,$A55)</f>
        <v>5.13789987564087</v>
      </c>
      <c r="Q55" s="1">
        <f>[1]!cb_anal_convpremiumratio($Q$6,A55-2)</f>
        <v>49.400305030181102</v>
      </c>
      <c r="S55" s="1">
        <f>[1]!cb_anal_straightbondpremiumratio($S$6,A55-3)</f>
        <v>0</v>
      </c>
      <c r="T55" s="9" cm="1">
        <f t="array" ref="T55">[1]!s_dq_close(T$6,$A55,1)</f>
        <v>18.21</v>
      </c>
      <c r="U55" s="9" cm="1">
        <f t="array" ref="U55">[1]!s_dq_close(U$6,$A55,1)</f>
        <v>7.2553999999999998</v>
      </c>
      <c r="V55" s="9" cm="1">
        <f t="array" ref="V55">[1]!s_dq_close(V$6,$A55,1)</f>
        <v>106.65009999999999</v>
      </c>
      <c r="W55" s="11" cm="1">
        <f t="array" ref="W55">[1]!s_dq_close(W$6,$A55,1)</f>
        <v>684.44</v>
      </c>
      <c r="X55" s="11" cm="1">
        <f t="array" ref="X55">[1]!s_dq_close(X$6,$A55,1)</f>
        <v>2949.6</v>
      </c>
      <c r="Y55" s="11" cm="1">
        <f t="array" ref="Y55">[1]!s_dq_close(Y$6,$A55,1)</f>
        <v>70.25</v>
      </c>
      <c r="Z55" s="11" cm="1">
        <f t="array" ref="Z55">[1]!s_dq_close(Z$6,$A55,1)</f>
        <v>73.849999999999994</v>
      </c>
      <c r="AA55" s="12" cm="1">
        <f t="array" ref="AA55">[1]!s_dq_oi(AA$6,$A55)</f>
        <v>2417013</v>
      </c>
      <c r="AB55" s="12" cm="1">
        <f t="array" ref="AB55">[1]!s_dq_close(AB$6,$A55,1)</f>
        <v>2945</v>
      </c>
      <c r="AC55" s="12" cm="1">
        <f t="array" ref="AC55">[1]!s_dq_close(AC$6,$A55,1)</f>
        <v>3807.14</v>
      </c>
      <c r="AD55" s="12" cm="1">
        <f t="array" ref="AD55">[1]!s_dq_close(AD$6,$A55,1)</f>
        <v>3361</v>
      </c>
      <c r="AE55" s="12" cm="1">
        <f t="array" ref="AE55">[1]!s_dq_close(AE$6,$A55,1)</f>
        <v>3470</v>
      </c>
      <c r="AF55" s="12" cm="1">
        <f t="array" ref="AF55">[1]!s_dq_close(AF$6,$A55,1)</f>
        <v>838.5</v>
      </c>
      <c r="AG55" s="12">
        <f>[1]!s_dq_close($AG$6,$A55)</f>
        <v>-2085</v>
      </c>
      <c r="AH55" s="11">
        <f>[1]!s_dq_close($AH$6,A55)</f>
        <v>7.2523999999999997</v>
      </c>
    </row>
    <row r="56" spans="1:34">
      <c r="A56" s="5">
        <v>45704</v>
      </c>
      <c r="B56" s="6">
        <v>1.6546000000000001</v>
      </c>
      <c r="C56" s="6">
        <v>1.6546000000000001</v>
      </c>
      <c r="D56" s="6">
        <v>1.8389</v>
      </c>
      <c r="E56" s="6">
        <v>4.47</v>
      </c>
      <c r="F56" s="6">
        <v>1.5217000000000001</v>
      </c>
      <c r="G56" s="6">
        <v>1.83</v>
      </c>
      <c r="H56" s="6">
        <v>4.2300000000000004</v>
      </c>
      <c r="I56" s="6">
        <v>1.3606</v>
      </c>
      <c r="J56" s="10">
        <v>2.04</v>
      </c>
      <c r="K56" s="10">
        <v>213.3</v>
      </c>
      <c r="L56" s="10"/>
      <c r="M56" s="1" cm="1">
        <f t="array" ref="M56">[1]!s_val_pe_ttm(M$6,$A56)</f>
        <v>14.448300361633301</v>
      </c>
      <c r="N56" s="1" cm="1">
        <f t="array" ref="N56">[1]!s_val_pe_ttm(N$6,$A56)</f>
        <v>28.278200149536101</v>
      </c>
      <c r="O56" s="1" cm="1">
        <f t="array" ref="O56">[1]!s_val_pb_lf(O$6,$A56)</f>
        <v>1.3493000268936199</v>
      </c>
      <c r="P56" s="1" cm="1">
        <f t="array" ref="P56">[1]!s_val_pb_lf(P$6,$A56)</f>
        <v>5.2603998184204102</v>
      </c>
      <c r="Q56" s="1">
        <f>[1]!cb_anal_convpremiumratio($Q$6,A56-2)</f>
        <v>50.665267334669302</v>
      </c>
      <c r="S56" s="1">
        <f>[1]!cb_anal_straightbondpremiumratio($S$6,A56-3)</f>
        <v>0</v>
      </c>
      <c r="T56" s="9" cm="1">
        <f t="array" ref="T56">[1]!s_dq_close(T$6,$A56,1)</f>
        <v>14.77</v>
      </c>
      <c r="U56" s="9" cm="1">
        <f t="array" ref="U56">[1]!s_dq_close(U$6,$A56,1)</f>
        <v>7.2653999999999996</v>
      </c>
      <c r="V56" s="9" cm="1">
        <f t="array" ref="V56">[1]!s_dq_close(V$6,$A56,1)</f>
        <v>106.80370000000001</v>
      </c>
      <c r="W56" s="11" cm="1">
        <f t="array" ref="W56">[1]!s_dq_close(W$6,$A56,1)</f>
        <v>688.4</v>
      </c>
      <c r="X56" s="11" cm="1">
        <f t="array" ref="X56">[1]!s_dq_close(X$6,$A56,1)</f>
        <v>2893.7</v>
      </c>
      <c r="Y56" s="11" cm="1">
        <f t="array" ref="Y56">[1]!s_dq_close(Y$6,$A56,1)</f>
        <v>70.569999999999993</v>
      </c>
      <c r="Z56" s="11" cm="1">
        <f t="array" ref="Z56">[1]!s_dq_close(Z$6,$A56,1)</f>
        <v>74.64</v>
      </c>
      <c r="AA56" s="12" cm="1">
        <f t="array" ref="AA56">[1]!s_dq_oi(AA$6,$A56)</f>
        <v>2272234</v>
      </c>
      <c r="AB56" s="12" cm="1">
        <f t="array" ref="AB56">[1]!s_dq_close(AB$6,$A56,1)</f>
        <v>2883</v>
      </c>
      <c r="AC56" s="12" cm="1">
        <f t="array" ref="AC56">[1]!s_dq_close(AC$6,$A56,1)</f>
        <v>3618.86</v>
      </c>
      <c r="AD56" s="12" cm="1">
        <f t="array" ref="AD56">[1]!s_dq_close(AD$6,$A56,1)</f>
        <v>3262</v>
      </c>
      <c r="AE56" s="12" cm="1">
        <f t="array" ref="AE56">[1]!s_dq_close(AE$6,$A56,1)</f>
        <v>3377</v>
      </c>
      <c r="AF56" s="12" cm="1">
        <f t="array" ref="AF56">[1]!s_dq_close(AF$6,$A56,1)</f>
        <v>810.5</v>
      </c>
      <c r="AG56" s="12">
        <f>[1]!s_dq_close($AG$6,$A56)</f>
        <v>-2235.39</v>
      </c>
      <c r="AH56" s="11">
        <f>[1]!s_dq_close($AH$6,A56)</f>
        <v>7.2594000000000003</v>
      </c>
    </row>
    <row r="57" spans="1:34">
      <c r="A57" s="5">
        <v>45697</v>
      </c>
      <c r="B57" s="6">
        <v>1.6056999999999999</v>
      </c>
      <c r="C57" s="6">
        <v>1.6067</v>
      </c>
      <c r="D57" s="6">
        <v>1.7802</v>
      </c>
      <c r="E57" s="6">
        <v>4.49</v>
      </c>
      <c r="F57" s="6">
        <v>1.4308000000000001</v>
      </c>
      <c r="G57" s="6">
        <v>1.7563</v>
      </c>
      <c r="H57" s="6">
        <v>4.25</v>
      </c>
      <c r="I57" s="6">
        <v>1.2370000000000001</v>
      </c>
      <c r="J57" s="10">
        <v>2.0699999999999998</v>
      </c>
      <c r="K57" s="10">
        <v>0</v>
      </c>
      <c r="L57" s="10"/>
      <c r="M57" s="1" cm="1">
        <f t="array" ref="M57">[1]!s_val_pe_ttm(M$6,$A57)</f>
        <v>14.2378997802734</v>
      </c>
      <c r="N57" s="1" cm="1">
        <f t="array" ref="N57">[1]!s_val_pe_ttm(N$6,$A57)</f>
        <v>27.916999816894499</v>
      </c>
      <c r="O57" s="1" cm="1">
        <f t="array" ref="O57">[1]!s_val_pb_lf(O$6,$A57)</f>
        <v>1.32990002632141</v>
      </c>
      <c r="P57" s="1" cm="1">
        <f t="array" ref="P57">[1]!s_val_pb_lf(P$6,$A57)</f>
        <v>5.1813998222351101</v>
      </c>
      <c r="Q57" s="1">
        <f>[1]!cb_anal_convpremiumratio($Q$6,A57-2)</f>
        <v>53.110740200000002</v>
      </c>
      <c r="S57" s="1">
        <f>[1]!cb_anal_straightbondpremiumratio($S$6,A57-3)</f>
        <v>0</v>
      </c>
      <c r="T57" s="9" cm="1">
        <f t="array" ref="T57">[1]!s_dq_close(T$6,$A57,1)</f>
        <v>16.54</v>
      </c>
      <c r="U57" s="9" cm="1">
        <f t="array" ref="U57">[1]!s_dq_close(U$6,$A57,1)</f>
        <v>7.2888999999999999</v>
      </c>
      <c r="V57" s="9" cm="1">
        <f t="array" ref="V57">[1]!s_dq_close(V$6,$A57,1)</f>
        <v>108.1001</v>
      </c>
      <c r="W57" s="11" cm="1">
        <f t="array" ref="W57">[1]!s_dq_close(W$6,$A57,1)</f>
        <v>669.9</v>
      </c>
      <c r="X57" s="11" cm="1">
        <f t="array" ref="X57">[1]!s_dq_close(X$6,$A57,1)</f>
        <v>2886.1</v>
      </c>
      <c r="Y57" s="11" cm="1">
        <f t="array" ref="Y57">[1]!s_dq_close(Y$6,$A57,1)</f>
        <v>71.06</v>
      </c>
      <c r="Z57" s="11" cm="1">
        <f t="array" ref="Z57">[1]!s_dq_close(Z$6,$A57,1)</f>
        <v>74.69</v>
      </c>
      <c r="AA57" s="12" cm="1">
        <f t="array" ref="AA57">[1]!s_dq_oi(AA$6,$A57)</f>
        <v>2121699</v>
      </c>
      <c r="AB57" s="12" cm="1">
        <f t="array" ref="AB57">[1]!s_dq_close(AB$6,$A57,1)</f>
        <v>2909</v>
      </c>
      <c r="AC57" s="12" cm="1">
        <f t="array" ref="AC57">[1]!s_dq_close(AC$6,$A57,1)</f>
        <v>3564</v>
      </c>
      <c r="AD57" s="12" cm="1">
        <f t="array" ref="AD57">[1]!s_dq_close(AD$6,$A57,1)</f>
        <v>3352</v>
      </c>
      <c r="AE57" s="12" cm="1">
        <f t="array" ref="AE57">[1]!s_dq_close(AE$6,$A57,1)</f>
        <v>3449</v>
      </c>
      <c r="AF57" s="12" cm="1">
        <f t="array" ref="AF57">[1]!s_dq_close(AF$6,$A57,1)</f>
        <v>817</v>
      </c>
      <c r="AG57" s="12">
        <f>[1]!s_dq_close($AG$6,$A57)</f>
        <v>-2300</v>
      </c>
      <c r="AH57" s="11">
        <f>[1]!s_dq_close($AH$6,A57)</f>
        <v>7.3037999999999998</v>
      </c>
    </row>
    <row r="58" spans="1:34">
      <c r="A58" s="5">
        <v>45690</v>
      </c>
      <c r="B58" s="6">
        <v>1.6298999999999999</v>
      </c>
      <c r="C58" s="6">
        <v>1.6526000000000001</v>
      </c>
      <c r="D58" s="6">
        <v>1.8349</v>
      </c>
      <c r="E58" s="6">
        <v>4.58</v>
      </c>
      <c r="F58" s="6">
        <v>1.4481999999999999</v>
      </c>
      <c r="G58" s="6">
        <v>1.8016000000000001</v>
      </c>
      <c r="H58" s="6">
        <v>4.17</v>
      </c>
      <c r="I58" s="6">
        <v>1.2515000000000001</v>
      </c>
      <c r="J58" s="10">
        <v>2.16</v>
      </c>
      <c r="K58" s="10">
        <v>210.9</v>
      </c>
      <c r="L58" s="10"/>
      <c r="M58" s="1" cm="1">
        <f t="array" ref="M58">[1]!s_val_pe_ttm(M$6,$A58)</f>
        <v>14.0721998214722</v>
      </c>
      <c r="N58" s="1" cm="1">
        <f t="array" ref="N58">[1]!s_val_pe_ttm(N$6,$A58)</f>
        <v>28.484399795532202</v>
      </c>
      <c r="O58" s="1" cm="1">
        <f t="array" ref="O58">[1]!s_val_pb_lf(O$6,$A58)</f>
        <v>1.3142000436782799</v>
      </c>
      <c r="P58" s="1" cm="1">
        <f t="array" ref="P58">[1]!s_val_pb_lf(P$6,$A58)</f>
        <v>5.2151999473571804</v>
      </c>
      <c r="Q58" s="1">
        <f>[1]!cb_anal_convpremiumratio($Q$6,A58-2)</f>
        <v>0</v>
      </c>
      <c r="S58" s="1">
        <f>[1]!cb_anal_straightbondpremiumratio($S$6,A58-3)</f>
        <v>0</v>
      </c>
      <c r="T58" s="9" cm="1">
        <f t="array" ref="T58">[1]!s_dq_close(T$6,$A58,1)</f>
        <v>16.43</v>
      </c>
      <c r="U58" s="9" cm="1">
        <f t="array" ref="U58">[1]!s_dq_close(U$6,$A58,1)</f>
        <v>7.2649999999999997</v>
      </c>
      <c r="V58" s="9" cm="1">
        <f t="array" ref="V58">[1]!s_dq_close(V$6,$A58,1)</f>
        <v>108.51600000000001</v>
      </c>
      <c r="W58" s="11" cm="1">
        <f t="array" ref="W58">[1]!s_dq_close(W$6,$A58,1)</f>
        <v>647.54</v>
      </c>
      <c r="X58" s="11" cm="1">
        <f t="array" ref="X58">[1]!s_dq_close(X$6,$A58,1)</f>
        <v>2831.5</v>
      </c>
      <c r="Y58" s="11" cm="1">
        <f t="array" ref="Y58">[1]!s_dq_close(Y$6,$A58,1)</f>
        <v>73.81</v>
      </c>
      <c r="Z58" s="11" cm="1">
        <f t="array" ref="Z58">[1]!s_dq_close(Z$6,$A58,1)</f>
        <v>76.5</v>
      </c>
      <c r="AA58" s="12" cm="1">
        <f t="array" ref="AA58">[1]!s_dq_oi(AA$6,$A58)</f>
        <v>2085658</v>
      </c>
      <c r="AB58" s="12" cm="1">
        <f t="array" ref="AB58">[1]!s_dq_close(AB$6,$A58,1)</f>
        <v>2822</v>
      </c>
      <c r="AC58" s="12" cm="1">
        <f t="array" ref="AC58">[1]!s_dq_close(AC$6,$A58,1)</f>
        <v>3250.29</v>
      </c>
      <c r="AD58" s="12" cm="1">
        <f t="array" ref="AD58">[1]!s_dq_close(AD$6,$A58,1)</f>
        <v>3382</v>
      </c>
      <c r="AE58" s="12" cm="1">
        <f t="array" ref="AE58">[1]!s_dq_close(AE$6,$A58,1)</f>
        <v>3485</v>
      </c>
      <c r="AF58" s="12" cm="1">
        <f t="array" ref="AF58">[1]!s_dq_close(AF$6,$A58,1)</f>
        <v>810.5</v>
      </c>
      <c r="AG58" s="12">
        <f>[1]!s_dq_close($AG$6,$A58)</f>
        <v>-2275</v>
      </c>
      <c r="AH58" s="11">
        <f>[1]!s_dq_close($AH$6,A58)</f>
        <v>7.3220999999999998</v>
      </c>
    </row>
    <row r="59" spans="1:34">
      <c r="A59" s="5">
        <v>45683</v>
      </c>
      <c r="B59" s="6">
        <v>1.6536999999999999</v>
      </c>
      <c r="C59" s="6">
        <v>1.6800999999999999</v>
      </c>
      <c r="D59" s="6">
        <v>1.8571</v>
      </c>
      <c r="E59" s="6">
        <v>4.63</v>
      </c>
      <c r="F59" s="6">
        <v>1.4951000000000001</v>
      </c>
      <c r="G59" s="6">
        <v>1.8317000000000001</v>
      </c>
      <c r="H59" s="6">
        <v>4.17</v>
      </c>
      <c r="I59" s="6">
        <v>1.3153999999999999</v>
      </c>
      <c r="J59" s="10">
        <v>2.2000000000000002</v>
      </c>
      <c r="K59" s="10">
        <v>207.2</v>
      </c>
      <c r="L59" s="10"/>
      <c r="M59" s="1" cm="1">
        <f t="array" ref="M59">[1]!s_val_pe_ttm(M$6,$A59)</f>
        <v>14.058799743652299</v>
      </c>
      <c r="N59" s="1" cm="1">
        <f t="array" ref="N59">[1]!s_val_pe_ttm(N$6,$A59)</f>
        <v>28.779499053955099</v>
      </c>
      <c r="O59" s="1" cm="1">
        <f t="array" ref="O59">[1]!s_val_pb_lf(O$6,$A59)</f>
        <v>1.3128000497818</v>
      </c>
      <c r="P59" s="1" cm="1">
        <f t="array" ref="P59">[1]!s_val_pb_lf(P$6,$A59)</f>
        <v>5.2828998565673801</v>
      </c>
      <c r="Q59" s="1">
        <f>[1]!cb_anal_convpremiumratio($Q$6,A59-2)</f>
        <v>56.633933534136503</v>
      </c>
      <c r="S59" s="1">
        <f>[1]!cb_anal_straightbondpremiumratio($S$6,A59-3)</f>
        <v>0</v>
      </c>
      <c r="T59" s="9" cm="1">
        <f t="array" ref="T59">[1]!s_dq_close(T$6,$A59,1)</f>
        <v>14.85</v>
      </c>
      <c r="U59" s="9" cm="1">
        <f t="array" ref="U59">[1]!s_dq_close(U$6,$A59,1)</f>
        <v>7.2412000000000001</v>
      </c>
      <c r="V59" s="9" cm="1">
        <f t="array" ref="V59">[1]!s_dq_close(V$6,$A59,1)</f>
        <v>107.4804</v>
      </c>
      <c r="W59" s="11" cm="1">
        <f t="array" ref="W59">[1]!s_dq_close(W$6,$A59,1)</f>
        <v>648.9</v>
      </c>
      <c r="X59" s="11" cm="1">
        <f t="array" ref="X59">[1]!s_dq_close(X$6,$A59,1)</f>
        <v>2777.4</v>
      </c>
      <c r="Y59" s="11" cm="1">
        <f t="array" ref="Y59">[1]!s_dq_close(Y$6,$A59,1)</f>
        <v>74.599999999999994</v>
      </c>
      <c r="Z59" s="11" cm="1">
        <f t="array" ref="Z59">[1]!s_dq_close(Z$6,$A59,1)</f>
        <v>77.489999999999995</v>
      </c>
      <c r="AA59" s="12" cm="1">
        <f t="array" ref="AA59">[1]!s_dq_oi(AA$6,$A59)</f>
        <v>2231280</v>
      </c>
      <c r="AB59" s="12" cm="1">
        <f t="array" ref="AB59">[1]!s_dq_close(AB$6,$A59,1)</f>
        <v>2840</v>
      </c>
      <c r="AC59" s="12" cm="1">
        <f t="array" ref="AC59">[1]!s_dq_close(AC$6,$A59,1)</f>
        <v>3250.29</v>
      </c>
      <c r="AD59" s="12" cm="1">
        <f t="array" ref="AD59">[1]!s_dq_close(AD$6,$A59,1)</f>
        <v>3377</v>
      </c>
      <c r="AE59" s="12" cm="1">
        <f t="array" ref="AE59">[1]!s_dq_close(AE$6,$A59,1)</f>
        <v>3473</v>
      </c>
      <c r="AF59" s="12" cm="1">
        <f t="array" ref="AF59">[1]!s_dq_close(AF$6,$A59,1)</f>
        <v>806.5</v>
      </c>
      <c r="AG59" s="12">
        <f>[1]!s_dq_close($AG$6,$A59)</f>
        <v>-2248</v>
      </c>
      <c r="AH59" s="11">
        <f>[1]!s_dq_close($AH$6,A59)</f>
        <v>7.2443</v>
      </c>
    </row>
    <row r="60" spans="1:34">
      <c r="A60" s="5">
        <v>45676</v>
      </c>
      <c r="B60" s="6">
        <v>1.6593</v>
      </c>
      <c r="C60" s="6">
        <v>1.67</v>
      </c>
      <c r="D60" s="6">
        <v>1.8269</v>
      </c>
      <c r="E60" s="6">
        <v>4.6100000000000003</v>
      </c>
      <c r="F60" s="6">
        <v>1.4601</v>
      </c>
      <c r="G60" s="6">
        <v>1.7908999999999999</v>
      </c>
      <c r="H60" s="6">
        <v>4.21</v>
      </c>
      <c r="I60" s="6">
        <v>1.2707999999999999</v>
      </c>
      <c r="J60" s="10">
        <v>2.2000000000000002</v>
      </c>
      <c r="K60" s="10">
        <v>0</v>
      </c>
      <c r="L60" s="10"/>
      <c r="M60" s="1" cm="1">
        <f t="array" ref="M60">[1]!s_val_pe_ttm(M$6,$A60)</f>
        <v>14.0548000335693</v>
      </c>
      <c r="N60" s="1" cm="1">
        <f t="array" ref="N60">[1]!s_val_pe_ttm(N$6,$A60)</f>
        <v>28.5447998046875</v>
      </c>
      <c r="O60" s="1" cm="1">
        <f t="array" ref="O60">[1]!s_val_pb_lf(O$6,$A60)</f>
        <v>1.30889999866486</v>
      </c>
      <c r="P60" s="1" cm="1">
        <f t="array" ref="P60">[1]!s_val_pb_lf(P$6,$A60)</f>
        <v>5.1905999183654803</v>
      </c>
      <c r="Q60" s="1">
        <f>[1]!cb_anal_convpremiumratio($Q$6,A60-2)</f>
        <v>56.227994411177598</v>
      </c>
      <c r="S60" s="1">
        <f>[1]!cb_anal_straightbondpremiumratio($S$6,A60-3)</f>
        <v>0</v>
      </c>
      <c r="T60" s="9" cm="1">
        <f t="array" ref="T60">[1]!s_dq_close(T$6,$A60,1)</f>
        <v>15.97</v>
      </c>
      <c r="U60" s="9" cm="1">
        <f t="array" ref="U60">[1]!s_dq_close(U$6,$A60,1)</f>
        <v>7.3284000000000002</v>
      </c>
      <c r="V60" s="9" cm="1">
        <f t="array" ref="V60">[1]!s_dq_close(V$6,$A60,1)</f>
        <v>109.3792</v>
      </c>
      <c r="W60" s="11" cm="1">
        <f t="array" ref="W60">[1]!s_dq_close(W$6,$A60,1)</f>
        <v>640.67999999999995</v>
      </c>
      <c r="X60" s="11" cm="1">
        <f t="array" ref="X60">[1]!s_dq_close(X$6,$A60,1)</f>
        <v>2740</v>
      </c>
      <c r="Y60" s="11" cm="1">
        <f t="array" ref="Y60">[1]!s_dq_close(Y$6,$A60,1)</f>
        <v>77.37</v>
      </c>
      <c r="Z60" s="11" cm="1">
        <f t="array" ref="Z60">[1]!s_dq_close(Z$6,$A60,1)</f>
        <v>80.73</v>
      </c>
      <c r="AA60" s="12" cm="1">
        <f t="array" ref="AA60">[1]!s_dq_oi(AA$6,$A60)</f>
        <v>2309560</v>
      </c>
      <c r="AB60" s="12" cm="1">
        <f t="array" ref="AB60">[1]!s_dq_close(AB$6,$A60,1)</f>
        <v>2779</v>
      </c>
      <c r="AC60" s="12" cm="1">
        <f t="array" ref="AC60">[1]!s_dq_close(AC$6,$A60,1)</f>
        <v>3088</v>
      </c>
      <c r="AD60" s="12" cm="1">
        <f t="array" ref="AD60">[1]!s_dq_close(AD$6,$A60,1)</f>
        <v>3372</v>
      </c>
      <c r="AE60" s="12" cm="1">
        <f t="array" ref="AE60">[1]!s_dq_close(AE$6,$A60,1)</f>
        <v>3484</v>
      </c>
      <c r="AF60" s="12" cm="1">
        <f t="array" ref="AF60">[1]!s_dq_close(AF$6,$A60,1)</f>
        <v>803.5</v>
      </c>
      <c r="AG60" s="12">
        <f>[1]!s_dq_close($AG$6,$A60)</f>
        <v>-2300</v>
      </c>
      <c r="AH60" s="11">
        <f>[1]!s_dq_close($AH$6,A60)</f>
        <v>7.3410000000000002</v>
      </c>
    </row>
    <row r="61" spans="1:34">
      <c r="A61" s="5">
        <v>45669</v>
      </c>
      <c r="B61" s="6">
        <v>1.6337999999999999</v>
      </c>
      <c r="C61" s="6">
        <v>1.645</v>
      </c>
      <c r="D61" s="6">
        <v>1.7075</v>
      </c>
      <c r="E61" s="6">
        <v>4.7699999999999996</v>
      </c>
      <c r="F61" s="6">
        <v>1.3805000000000001</v>
      </c>
      <c r="G61" s="6">
        <v>1.6694</v>
      </c>
      <c r="H61" s="6">
        <v>4.25</v>
      </c>
      <c r="I61" s="6">
        <v>1.2112000000000001</v>
      </c>
      <c r="J61" s="10">
        <v>2.34</v>
      </c>
      <c r="K61" s="10">
        <v>206.5</v>
      </c>
      <c r="L61" s="10"/>
      <c r="M61" s="1" cm="1">
        <f t="array" ref="M61">[1]!s_val_pe_ttm(M$6,$A61)</f>
        <v>13.7779998779297</v>
      </c>
      <c r="N61" s="1" cm="1">
        <f t="array" ref="N61">[1]!s_val_pe_ttm(N$6,$A61)</f>
        <v>28.210399627685501</v>
      </c>
      <c r="O61" s="1" cm="1">
        <f t="array" ref="O61">[1]!s_val_pb_lf(O$6,$A61)</f>
        <v>1.2840000391006501</v>
      </c>
      <c r="P61" s="1" cm="1">
        <f t="array" ref="P61">[1]!s_val_pb_lf(P$6,$A61)</f>
        <v>5.04489994049072</v>
      </c>
      <c r="Q61" s="1">
        <f>[1]!cb_anal_convpremiumratio($Q$6,A61-2)</f>
        <v>61.753511155378497</v>
      </c>
      <c r="S61" s="1">
        <f>[1]!cb_anal_straightbondpremiumratio($S$6,A61-3)</f>
        <v>0</v>
      </c>
      <c r="T61" s="9" cm="1">
        <f t="array" ref="T61">[1]!s_dq_close(T$6,$A61,1)</f>
        <v>19.54</v>
      </c>
      <c r="U61" s="9" cm="1">
        <f t="array" ref="U61">[1]!s_dq_close(U$6,$A61,1)</f>
        <v>7.3326000000000002</v>
      </c>
      <c r="V61" s="9" cm="1">
        <f t="array" ref="V61">[1]!s_dq_close(V$6,$A61,1)</f>
        <v>109.6567</v>
      </c>
      <c r="W61" s="11" cm="1">
        <f t="array" ref="W61">[1]!s_dq_close(W$6,$A61,1)</f>
        <v>635.46</v>
      </c>
      <c r="X61" s="11" cm="1">
        <f t="array" ref="X61">[1]!s_dq_close(X$6,$A61,1)</f>
        <v>2717.4</v>
      </c>
      <c r="Y61" s="11" cm="1">
        <f t="array" ref="Y61">[1]!s_dq_close(Y$6,$A61,1)</f>
        <v>76.569999999999993</v>
      </c>
      <c r="Z61" s="11" cm="1">
        <f t="array" ref="Z61">[1]!s_dq_close(Z$6,$A61,1)</f>
        <v>79.790000000000006</v>
      </c>
      <c r="AA61" s="12" cm="1">
        <f t="array" ref="AA61">[1]!s_dq_oi(AA$6,$A61)</f>
        <v>2262095</v>
      </c>
      <c r="AB61" s="12" cm="1">
        <f t="array" ref="AB61">[1]!s_dq_close(AB$6,$A61,1)</f>
        <v>2659</v>
      </c>
      <c r="AC61" s="12" cm="1">
        <f t="array" ref="AC61">[1]!s_dq_close(AC$6,$A61,1)</f>
        <v>2954.86</v>
      </c>
      <c r="AD61" s="12" cm="1">
        <f t="array" ref="AD61">[1]!s_dq_close(AD$6,$A61,1)</f>
        <v>3202</v>
      </c>
      <c r="AE61" s="12" cm="1">
        <f t="array" ref="AE61">[1]!s_dq_close(AE$6,$A61,1)</f>
        <v>3312</v>
      </c>
      <c r="AF61" s="12" cm="1">
        <f t="array" ref="AF61">[1]!s_dq_close(AF$6,$A61,1)</f>
        <v>753.5</v>
      </c>
      <c r="AG61" s="12">
        <f>[1]!s_dq_close($AG$6,$A61)</f>
        <v>-2314.5</v>
      </c>
      <c r="AH61" s="11">
        <f>[1]!s_dq_close($AH$6,A61)</f>
        <v>7.3635000000000002</v>
      </c>
    </row>
    <row r="62" spans="1:34">
      <c r="A62" s="5">
        <v>45662</v>
      </c>
      <c r="B62" s="6">
        <v>1.6041000000000001</v>
      </c>
      <c r="C62" s="6">
        <v>1.6463000000000001</v>
      </c>
      <c r="D62" s="6">
        <v>1.6315999999999999</v>
      </c>
      <c r="E62" s="6">
        <v>4.5999999999999996</v>
      </c>
      <c r="F62" s="6">
        <v>1.2818000000000001</v>
      </c>
      <c r="G62" s="6">
        <v>1.6294999999999999</v>
      </c>
      <c r="H62" s="6">
        <v>4.18</v>
      </c>
      <c r="I62" s="6">
        <v>1.0205</v>
      </c>
      <c r="J62" s="10">
        <v>2.2599999999999998</v>
      </c>
      <c r="K62" s="10">
        <v>187.2</v>
      </c>
      <c r="L62" s="10"/>
      <c r="M62" s="1" cm="1">
        <f t="array" ref="M62">[1]!s_val_pe_ttm(M$6,$A62)</f>
        <v>13.9658002853394</v>
      </c>
      <c r="N62" s="1" cm="1">
        <f t="array" ref="N62">[1]!s_val_pe_ttm(N$6,$A62)</f>
        <v>28.719800949096701</v>
      </c>
      <c r="O62" s="1" cm="1">
        <f t="array" ref="O62">[1]!s_val_pb_lf(O$6,$A62)</f>
        <v>1.2977000474929801</v>
      </c>
      <c r="P62" s="1" cm="1">
        <f t="array" ref="P62">[1]!s_val_pb_lf(P$6,$A62)</f>
        <v>5.1399002075195304</v>
      </c>
      <c r="Q62" s="1">
        <f>[1]!cb_anal_convpremiumratio($Q$6,A62-2)</f>
        <v>58.741074353876698</v>
      </c>
      <c r="S62" s="1">
        <f>[1]!cb_anal_straightbondpremiumratio($S$6,A62-3)</f>
        <v>0</v>
      </c>
      <c r="T62" s="9" cm="1">
        <f t="array" ref="T62">[1]!s_dq_close(T$6,$A62,1)</f>
        <v>16.13</v>
      </c>
      <c r="U62" s="9" cm="1">
        <f t="array" ref="U62">[1]!s_dq_close(U$6,$A62,1)</f>
        <v>7.3093000000000004</v>
      </c>
      <c r="V62" s="9" cm="1">
        <f t="array" ref="V62">[1]!s_dq_close(V$6,$A62,1)</f>
        <v>108.9212</v>
      </c>
      <c r="W62" s="11" cm="1">
        <f t="array" ref="W62">[1]!s_dq_close(W$6,$A62,1)</f>
        <v>627.96</v>
      </c>
      <c r="X62" s="11" cm="1">
        <f t="array" ref="X62">[1]!s_dq_close(X$6,$A62,1)</f>
        <v>2652.7</v>
      </c>
      <c r="Y62" s="11" cm="1">
        <f t="array" ref="Y62">[1]!s_dq_close(Y$6,$A62,1)</f>
        <v>74.069999999999993</v>
      </c>
      <c r="Z62" s="11" cm="1">
        <f t="array" ref="Z62">[1]!s_dq_close(Z$6,$A62,1)</f>
        <v>76.69</v>
      </c>
      <c r="AA62" s="12" cm="1">
        <f t="array" ref="AA62">[1]!s_dq_oi(AA$6,$A62)</f>
        <v>2292291</v>
      </c>
      <c r="AB62" s="12" cm="1">
        <f t="array" ref="AB62">[1]!s_dq_close(AB$6,$A62,1)</f>
        <v>2688</v>
      </c>
      <c r="AC62" s="12" cm="1">
        <f t="array" ref="AC62">[1]!s_dq_close(AC$6,$A62,1)</f>
        <v>2958.29</v>
      </c>
      <c r="AD62" s="12" cm="1">
        <f t="array" ref="AD62">[1]!s_dq_close(AD$6,$A62,1)</f>
        <v>3272</v>
      </c>
      <c r="AE62" s="12" cm="1">
        <f t="array" ref="AE62">[1]!s_dq_close(AE$6,$A62,1)</f>
        <v>3377</v>
      </c>
      <c r="AF62" s="12" cm="1">
        <f t="array" ref="AF62">[1]!s_dq_close(AF$6,$A62,1)</f>
        <v>764</v>
      </c>
      <c r="AG62" s="12">
        <f>[1]!s_dq_close($AG$6,$A62)</f>
        <v>-2337</v>
      </c>
      <c r="AH62" s="11">
        <f>[1]!s_dq_close($AH$6,A62)</f>
        <v>7.3582000000000001</v>
      </c>
    </row>
    <row r="63" spans="1:34">
      <c r="A63" s="5">
        <v>45655</v>
      </c>
      <c r="B63" s="6">
        <v>1.6929000000000001</v>
      </c>
      <c r="C63" s="6">
        <v>1.7563</v>
      </c>
      <c r="D63" s="6">
        <v>1.7613000000000001</v>
      </c>
      <c r="E63" s="6">
        <v>4.62</v>
      </c>
      <c r="F63" s="6">
        <v>1.2318</v>
      </c>
      <c r="G63" s="6">
        <v>1.7093</v>
      </c>
      <c r="H63" s="6">
        <v>4.2</v>
      </c>
      <c r="I63" s="6">
        <v>1.1319999999999999</v>
      </c>
      <c r="J63" s="10">
        <v>2.2799999999999998</v>
      </c>
      <c r="K63" s="10">
        <v>0</v>
      </c>
      <c r="L63" s="10"/>
      <c r="M63" s="1" cm="1">
        <f t="array" ref="M63">[1]!s_val_pe_ttm(M$6,$A63)</f>
        <v>14.711000442504901</v>
      </c>
      <c r="N63" s="1" cm="1">
        <f t="array" ref="N63">[1]!s_val_pe_ttm(N$6,$A63)</f>
        <v>28.861000061035199</v>
      </c>
      <c r="O63" s="1" cm="1">
        <f t="array" ref="O63">[1]!s_val_pb_lf(O$6,$A63)</f>
        <v>1.3673000335693399</v>
      </c>
      <c r="P63" s="1" cm="1">
        <f t="array" ref="P63">[1]!s_val_pb_lf(P$6,$A63)</f>
        <v>5.16520023345947</v>
      </c>
      <c r="Q63" s="1">
        <f>[1]!cb_anal_convpremiumratio($Q$6,A63-2)</f>
        <v>48.213133928571501</v>
      </c>
      <c r="S63" s="1">
        <f>[1]!cb_anal_straightbondpremiumratio($S$6,A63-3)</f>
        <v>0</v>
      </c>
      <c r="T63" s="9" cm="1">
        <f t="array" ref="T63">[1]!s_dq_close(T$6,$A63,1)</f>
        <v>15.95</v>
      </c>
      <c r="U63" s="9" cm="1">
        <f t="array" ref="U63">[1]!s_dq_close(U$6,$A63,1)</f>
        <v>7.2991999999999999</v>
      </c>
      <c r="V63" s="9" cm="1">
        <f t="array" ref="V63">[1]!s_dq_close(V$6,$A63,1)</f>
        <v>108.0151</v>
      </c>
      <c r="W63" s="11" cm="1">
        <f t="array" ref="W63">[1]!s_dq_close(W$6,$A63,1)</f>
        <v>620.22</v>
      </c>
      <c r="X63" s="11" cm="1">
        <f t="array" ref="X63">[1]!s_dq_close(X$6,$A63,1)</f>
        <v>2636.5</v>
      </c>
      <c r="Y63" s="11" cm="1">
        <f t="array" ref="Y63">[1]!s_dq_close(Y$6,$A63,1)</f>
        <v>70.260000000000005</v>
      </c>
      <c r="Z63" s="11" cm="1">
        <f t="array" ref="Z63">[1]!s_dq_close(Z$6,$A63,1)</f>
        <v>73.62</v>
      </c>
      <c r="AA63" s="12" cm="1">
        <f t="array" ref="AA63">[1]!s_dq_oi(AA$6,$A63)</f>
        <v>2467545</v>
      </c>
      <c r="AB63" s="12" cm="1">
        <f t="array" ref="AB63">[1]!s_dq_close(AB$6,$A63,1)</f>
        <v>2670</v>
      </c>
      <c r="AC63" s="12" cm="1">
        <f t="array" ref="AC63">[1]!s_dq_close(AC$6,$A63,1)</f>
        <v>2951.43</v>
      </c>
      <c r="AD63" s="12" cm="1">
        <f t="array" ref="AD63">[1]!s_dq_close(AD$6,$A63,1)</f>
        <v>3268</v>
      </c>
      <c r="AE63" s="12" cm="1">
        <f t="array" ref="AE63">[1]!s_dq_close(AE$6,$A63,1)</f>
        <v>3400</v>
      </c>
      <c r="AF63" s="12" cm="1">
        <f t="array" ref="AF63">[1]!s_dq_close(AF$6,$A63,1)</f>
        <v>759.5</v>
      </c>
      <c r="AG63" s="12">
        <f>[1]!s_dq_close($AG$6,$A63)</f>
        <v>-2505</v>
      </c>
      <c r="AH63" s="11">
        <f>[1]!s_dq_close($AH$6,A63)</f>
        <v>7.3006000000000002</v>
      </c>
    </row>
    <row r="64" spans="1:34">
      <c r="A64" s="5">
        <v>45648</v>
      </c>
      <c r="B64" s="6">
        <v>1.7018</v>
      </c>
      <c r="C64" s="6">
        <v>1.7613000000000001</v>
      </c>
      <c r="D64" s="6">
        <v>1.7904</v>
      </c>
      <c r="E64" s="6">
        <v>4.5199999999999996</v>
      </c>
      <c r="F64" s="6">
        <v>1.3401000000000001</v>
      </c>
      <c r="G64" s="6">
        <v>1.7206999999999999</v>
      </c>
      <c r="H64" s="6">
        <v>4.2699999999999996</v>
      </c>
      <c r="I64" s="6">
        <v>1.0706</v>
      </c>
      <c r="J64" s="10">
        <v>2.23</v>
      </c>
      <c r="K64" s="10">
        <v>197.7</v>
      </c>
      <c r="L64" s="10"/>
      <c r="M64" s="1" cm="1">
        <f t="array" ref="M64">[1]!s_val_pe_ttm(M$6,$A64)</f>
        <v>14.510800361633301</v>
      </c>
      <c r="N64" s="1" cm="1">
        <f t="array" ref="N64">[1]!s_val_pe_ttm(N$6,$A64)</f>
        <v>28.716100692748999</v>
      </c>
      <c r="O64" s="1" cm="1">
        <f t="array" ref="O64">[1]!s_val_pb_lf(O$6,$A64)</f>
        <v>1.34870004653931</v>
      </c>
      <c r="P64" s="1" cm="1">
        <f t="array" ref="P64">[1]!s_val_pb_lf(P$6,$A64)</f>
        <v>5.1229000091552699</v>
      </c>
      <c r="Q64" s="1">
        <f>[1]!cb_anal_convpremiumratio($Q$6,A64-2)</f>
        <v>44.894911089108902</v>
      </c>
      <c r="S64" s="1">
        <f>[1]!cb_anal_straightbondpremiumratio($S$6,A64-3)</f>
        <v>0</v>
      </c>
      <c r="T64" s="9" cm="1">
        <f t="array" ref="T64">[1]!s_dq_close(T$6,$A64,1)</f>
        <v>18.36</v>
      </c>
      <c r="U64" s="9" cm="1">
        <f t="array" ref="U64">[1]!s_dq_close(U$6,$A64,1)</f>
        <v>7.2984999999999998</v>
      </c>
      <c r="V64" s="9" cm="1">
        <f t="array" ref="V64">[1]!s_dq_close(V$6,$A64,1)</f>
        <v>107.8408</v>
      </c>
      <c r="W64" s="11" cm="1">
        <f t="array" ref="W64">[1]!s_dq_close(W$6,$A64,1)</f>
        <v>613.94000000000005</v>
      </c>
      <c r="X64" s="11" cm="1">
        <f t="array" ref="X64">[1]!s_dq_close(X$6,$A64,1)</f>
        <v>2640.5</v>
      </c>
      <c r="Y64" s="11" cm="1">
        <f t="array" ref="Y64">[1]!s_dq_close(Y$6,$A64,1)</f>
        <v>69.58</v>
      </c>
      <c r="Z64" s="11" cm="1">
        <f t="array" ref="Z64">[1]!s_dq_close(Z$6,$A64,1)</f>
        <v>72.599999999999994</v>
      </c>
      <c r="AA64" s="12" cm="1">
        <f t="array" ref="AA64">[1]!s_dq_oi(AA$6,$A64)</f>
        <v>2666258</v>
      </c>
      <c r="AB64" s="12" cm="1">
        <f t="array" ref="AB64">[1]!s_dq_close(AB$6,$A64,1)</f>
        <v>2633</v>
      </c>
      <c r="AC64" s="12" cm="1">
        <f t="array" ref="AC64">[1]!s_dq_close(AC$6,$A64,1)</f>
        <v>2894.57</v>
      </c>
      <c r="AD64" s="12" cm="1">
        <f t="array" ref="AD64">[1]!s_dq_close(AD$6,$A64,1)</f>
        <v>3279</v>
      </c>
      <c r="AE64" s="12" cm="1">
        <f t="array" ref="AE64">[1]!s_dq_close(AE$6,$A64,1)</f>
        <v>3410</v>
      </c>
      <c r="AF64" s="12" cm="1">
        <f t="array" ref="AF64">[1]!s_dq_close(AF$6,$A64,1)</f>
        <v>769</v>
      </c>
      <c r="AG64" s="12">
        <f>[1]!s_dq_close($AG$6,$A64)</f>
        <v>-2462</v>
      </c>
      <c r="AH64" s="11">
        <f>[1]!s_dq_close($AH$6,A64)</f>
        <v>7.2926000000000002</v>
      </c>
    </row>
    <row r="65" spans="1:34">
      <c r="A65" s="5">
        <v>45641</v>
      </c>
      <c r="B65" s="6">
        <v>1.7770999999999999</v>
      </c>
      <c r="C65" s="6">
        <v>1.8438000000000001</v>
      </c>
      <c r="D65" s="6">
        <v>1.7910999999999999</v>
      </c>
      <c r="E65" s="6">
        <v>4.4000000000000004</v>
      </c>
      <c r="F65" s="6">
        <v>1.4196</v>
      </c>
      <c r="G65" s="6">
        <v>1.7350000000000001</v>
      </c>
      <c r="H65" s="6">
        <v>4.24</v>
      </c>
      <c r="I65" s="6">
        <v>1.177</v>
      </c>
      <c r="J65" s="10">
        <v>2.0699999999999998</v>
      </c>
      <c r="K65" s="10">
        <v>202.4</v>
      </c>
      <c r="L65" s="10"/>
      <c r="M65" s="1" cm="1">
        <f t="array" ref="M65">[1]!s_val_pe_ttm(M$6,$A65)</f>
        <v>14.562100410461399</v>
      </c>
      <c r="N65" s="1" cm="1">
        <f t="array" ref="N65">[1]!s_val_pe_ttm(N$6,$A65)</f>
        <v>29.298000335693398</v>
      </c>
      <c r="O65" s="1" cm="1">
        <f t="array" ref="O65">[1]!s_val_pb_lf(O$6,$A65)</f>
        <v>1.35239994525909</v>
      </c>
      <c r="P65" s="1" cm="1">
        <f t="array" ref="P65">[1]!s_val_pb_lf(P$6,$A65)</f>
        <v>5.2225999832153303</v>
      </c>
      <c r="Q65" s="1">
        <f>[1]!cb_anal_convpremiumratio($Q$6,A65-2)</f>
        <v>43.643174556213097</v>
      </c>
      <c r="S65" s="1">
        <f>[1]!cb_anal_straightbondpremiumratio($S$6,A65-3)</f>
        <v>0</v>
      </c>
      <c r="T65" s="9" cm="1">
        <f t="array" ref="T65">[1]!s_dq_close(T$6,$A65,1)</f>
        <v>13.81</v>
      </c>
      <c r="U65" s="9" cm="1">
        <f t="array" ref="U65">[1]!s_dq_close(U$6,$A65,1)</f>
        <v>7.2794999999999996</v>
      </c>
      <c r="V65" s="9" cm="1">
        <f t="array" ref="V65">[1]!s_dq_close(V$6,$A65,1)</f>
        <v>106.94280000000001</v>
      </c>
      <c r="W65" s="11" cm="1">
        <f t="array" ref="W65">[1]!s_dq_close(W$6,$A65,1)</f>
        <v>625.6</v>
      </c>
      <c r="X65" s="11" cm="1">
        <f t="array" ref="X65">[1]!s_dq_close(X$6,$A65,1)</f>
        <v>2665.9</v>
      </c>
      <c r="Y65" s="11" cm="1">
        <f t="array" ref="Y65">[1]!s_dq_close(Y$6,$A65,1)</f>
        <v>71.09</v>
      </c>
      <c r="Z65" s="11" cm="1">
        <f t="array" ref="Z65">[1]!s_dq_close(Z$6,$A65,1)</f>
        <v>74.349999999999994</v>
      </c>
      <c r="AA65" s="12" cm="1">
        <f t="array" ref="AA65">[1]!s_dq_oi(AA$6,$A65)</f>
        <v>2587746</v>
      </c>
      <c r="AB65" s="12" cm="1">
        <f t="array" ref="AB65">[1]!s_dq_close(AB$6,$A65,1)</f>
        <v>2642</v>
      </c>
      <c r="AC65" s="12" cm="1">
        <f t="array" ref="AC65">[1]!s_dq_close(AC$6,$A65,1)</f>
        <v>2953.14</v>
      </c>
      <c r="AD65" s="12" cm="1">
        <f t="array" ref="AD65">[1]!s_dq_close(AD$6,$A65,1)</f>
        <v>3360</v>
      </c>
      <c r="AE65" s="12" cm="1">
        <f t="array" ref="AE65">[1]!s_dq_close(AE$6,$A65,1)</f>
        <v>3491</v>
      </c>
      <c r="AF65" s="12" cm="1">
        <f t="array" ref="AF65">[1]!s_dq_close(AF$6,$A65,1)</f>
        <v>797</v>
      </c>
      <c r="AG65" s="12">
        <f>[1]!s_dq_close($AG$6,$A65)</f>
        <v>-2380</v>
      </c>
      <c r="AH65" s="11">
        <f>[1]!s_dq_close($AH$6,A65)</f>
        <v>7.2794999999999996</v>
      </c>
    </row>
    <row r="66" spans="1:34">
      <c r="A66" s="5">
        <v>45634</v>
      </c>
      <c r="B66" s="6">
        <v>1.9539</v>
      </c>
      <c r="C66" s="6">
        <v>2.0303</v>
      </c>
      <c r="D66" s="6">
        <v>1.8835999999999999</v>
      </c>
      <c r="E66" s="6">
        <v>4.1500000000000004</v>
      </c>
      <c r="F66" s="6">
        <v>1.5515000000000001</v>
      </c>
      <c r="G66" s="6">
        <v>1.8070999999999999</v>
      </c>
      <c r="H66" s="6">
        <v>4.1900000000000004</v>
      </c>
      <c r="I66" s="6">
        <v>1.3184</v>
      </c>
      <c r="J66" s="10">
        <v>1.91</v>
      </c>
      <c r="K66" s="10">
        <v>0</v>
      </c>
      <c r="L66" s="10"/>
      <c r="M66" s="1" cm="1">
        <f t="array" ref="M66">[1]!s_val_pe_ttm(M$6,$A66)</f>
        <v>14.6152000427246</v>
      </c>
      <c r="N66" s="1" cm="1">
        <f t="array" ref="N66">[1]!s_val_pe_ttm(N$6,$A66)</f>
        <v>29.433599472045898</v>
      </c>
      <c r="O66" s="1" cm="1">
        <f t="array" ref="O66">[1]!s_val_pb_lf(O$6,$A66)</f>
        <v>1.35720002651215</v>
      </c>
      <c r="P66" s="1" cm="1">
        <f t="array" ref="P66">[1]!s_val_pb_lf(P$6,$A66)</f>
        <v>5.2472000122070304</v>
      </c>
      <c r="Q66" s="1">
        <f>[1]!cb_anal_convpremiumratio($Q$6,A66-2)</f>
        <v>42.373173242187498</v>
      </c>
      <c r="S66" s="1">
        <f>[1]!cb_anal_straightbondpremiumratio($S$6,A66-3)</f>
        <v>0</v>
      </c>
      <c r="T66" s="9" cm="1">
        <f t="array" ref="T66">[1]!s_dq_close(T$6,$A66,1)</f>
        <v>12.77</v>
      </c>
      <c r="U66" s="9" cm="1">
        <f t="array" ref="U66">[1]!s_dq_close(U$6,$A66,1)</f>
        <v>7.2582000000000004</v>
      </c>
      <c r="V66" s="9" cm="1">
        <f t="array" ref="V66">[1]!s_dq_close(V$6,$A66,1)</f>
        <v>105.97020000000001</v>
      </c>
      <c r="W66" s="11" cm="1">
        <f t="array" ref="W66">[1]!s_dq_close(W$6,$A66,1)</f>
        <v>615.94000000000005</v>
      </c>
      <c r="X66" s="11" cm="1">
        <f t="array" ref="X66">[1]!s_dq_close(X$6,$A66,1)</f>
        <v>2654.9</v>
      </c>
      <c r="Y66" s="11" cm="1">
        <f t="array" ref="Y66">[1]!s_dq_close(Y$6,$A66,1)</f>
        <v>67.17</v>
      </c>
      <c r="Z66" s="11" cm="1">
        <f t="array" ref="Z66">[1]!s_dq_close(Z$6,$A66,1)</f>
        <v>71.05</v>
      </c>
      <c r="AA66" s="12" cm="1">
        <f t="array" ref="AA66">[1]!s_dq_oi(AA$6,$A66)</f>
        <v>2463297</v>
      </c>
      <c r="AB66" s="12" cm="1">
        <f t="array" ref="AB66">[1]!s_dq_close(AB$6,$A66,1)</f>
        <v>2656</v>
      </c>
      <c r="AC66" s="12" cm="1">
        <f t="array" ref="AC66">[1]!s_dq_close(AC$6,$A66,1)</f>
        <v>2927.71</v>
      </c>
      <c r="AD66" s="12" cm="1">
        <f t="array" ref="AD66">[1]!s_dq_close(AD$6,$A66,1)</f>
        <v>3311</v>
      </c>
      <c r="AE66" s="12" cm="1">
        <f t="array" ref="AE66">[1]!s_dq_close(AE$6,$A66,1)</f>
        <v>3454</v>
      </c>
      <c r="AF66" s="12" cm="1">
        <f t="array" ref="AF66">[1]!s_dq_close(AF$6,$A66,1)</f>
        <v>797.5</v>
      </c>
      <c r="AG66" s="12">
        <f>[1]!s_dq_close($AG$6,$A66)</f>
        <v>-2250</v>
      </c>
      <c r="AH66" s="11">
        <f>[1]!s_dq_close($AH$6,A66)</f>
        <v>7.2839</v>
      </c>
    </row>
    <row r="67" spans="1:34">
      <c r="A67" s="5">
        <v>45627</v>
      </c>
      <c r="B67" s="6">
        <v>2.0206</v>
      </c>
      <c r="C67" s="6">
        <v>2.1038000000000001</v>
      </c>
      <c r="D67" s="6">
        <v>1.9967999999999999</v>
      </c>
      <c r="E67" s="6">
        <v>4.18</v>
      </c>
      <c r="F67" s="6">
        <v>1.6033999999999999</v>
      </c>
      <c r="G67" s="6">
        <v>1.9225000000000001</v>
      </c>
      <c r="H67" s="6">
        <v>4.3</v>
      </c>
      <c r="I67" s="6">
        <v>1.3671</v>
      </c>
      <c r="J67" s="10">
        <v>1.92</v>
      </c>
      <c r="K67" s="10">
        <v>209.1</v>
      </c>
      <c r="L67" s="10"/>
      <c r="M67" s="1" cm="1">
        <f t="array" ref="M67">[1]!s_val_pe_ttm(M$6,$A67)</f>
        <v>14.2806997299194</v>
      </c>
      <c r="N67" s="1" cm="1">
        <f t="array" ref="N67">[1]!s_val_pe_ttm(N$6,$A67)</f>
        <v>29.135799407958999</v>
      </c>
      <c r="O67" s="1" cm="1">
        <f t="array" ref="O67">[1]!s_val_pb_lf(O$6,$A67)</f>
        <v>1.3260999917984</v>
      </c>
      <c r="P67" s="1" cm="1">
        <f t="array" ref="P67">[1]!s_val_pb_lf(P$6,$A67)</f>
        <v>5.19220018386841</v>
      </c>
      <c r="Q67" s="1">
        <f>[1]!cb_anal_convpremiumratio($Q$6,A67-2)</f>
        <v>43.352642465753497</v>
      </c>
      <c r="S67" s="1">
        <f>[1]!cb_anal_straightbondpremiumratio($S$6,A67-3)</f>
        <v>0</v>
      </c>
      <c r="T67" s="9" cm="1">
        <f t="array" ref="T67">[1]!s_dq_close(T$6,$A67,1)</f>
        <v>13.51</v>
      </c>
      <c r="U67" s="9" cm="1">
        <f t="array" ref="U67">[1]!s_dq_close(U$6,$A67,1)</f>
        <v>7.2332000000000001</v>
      </c>
      <c r="V67" s="9" cm="1">
        <f t="array" ref="V67">[1]!s_dq_close(V$6,$A67,1)</f>
        <v>105.7761</v>
      </c>
      <c r="W67" s="11" cm="1">
        <f t="array" ref="W67">[1]!s_dq_close(W$6,$A67,1)</f>
        <v>618.79999999999995</v>
      </c>
      <c r="X67" s="11" cm="1">
        <f t="array" ref="X67">[1]!s_dq_close(X$6,$A67,1)</f>
        <v>2673.9</v>
      </c>
      <c r="Y67" s="11" cm="1">
        <f t="array" ref="Y67">[1]!s_dq_close(Y$6,$A67,1)</f>
        <v>68.150000000000006</v>
      </c>
      <c r="Z67" s="11" cm="1">
        <f t="array" ref="Z67">[1]!s_dq_close(Z$6,$A67,1)</f>
        <v>72.09</v>
      </c>
      <c r="AA67" s="12" cm="1">
        <f t="array" ref="AA67">[1]!s_dq_oi(AA$6,$A67)</f>
        <v>2114846</v>
      </c>
      <c r="AB67" s="12" cm="1">
        <f t="array" ref="AB67">[1]!s_dq_close(AB$6,$A67,1)</f>
        <v>2801</v>
      </c>
      <c r="AC67" s="12" cm="1">
        <f t="array" ref="AC67">[1]!s_dq_close(AC$6,$A67,1)</f>
        <v>3012.57</v>
      </c>
      <c r="AD67" s="12" cm="1">
        <f t="array" ref="AD67">[1]!s_dq_close(AD$6,$A67,1)</f>
        <v>3318</v>
      </c>
      <c r="AE67" s="12" cm="1">
        <f t="array" ref="AE67">[1]!s_dq_close(AE$6,$A67,1)</f>
        <v>3489</v>
      </c>
      <c r="AF67" s="12" cm="1">
        <f t="array" ref="AF67">[1]!s_dq_close(AF$6,$A67,1)</f>
        <v>797.5</v>
      </c>
      <c r="AG67" s="12">
        <f>[1]!s_dq_close($AG$6,$A67)</f>
        <v>-2193</v>
      </c>
      <c r="AH67" s="11">
        <f>[1]!s_dq_close($AH$6,A67)</f>
        <v>7.2481999999999998</v>
      </c>
    </row>
    <row r="68" spans="1:34">
      <c r="A68" s="5">
        <v>45620</v>
      </c>
      <c r="B68" s="6">
        <v>2.0832000000000002</v>
      </c>
      <c r="C68" s="6">
        <v>2.1488</v>
      </c>
      <c r="D68" s="6">
        <v>2.0708000000000002</v>
      </c>
      <c r="E68" s="6">
        <v>4.41</v>
      </c>
      <c r="F68" s="6">
        <v>1.6594</v>
      </c>
      <c r="G68" s="6">
        <v>1.9678</v>
      </c>
      <c r="H68" s="6">
        <v>4.42</v>
      </c>
      <c r="I68" s="6">
        <v>1.389</v>
      </c>
      <c r="J68" s="10">
        <v>2.0699999999999998</v>
      </c>
      <c r="K68" s="10">
        <v>208</v>
      </c>
      <c r="L68" s="10"/>
      <c r="M68" s="1" cm="1">
        <f t="array" ref="M68">[1]!s_val_pe_ttm(M$6,$A68)</f>
        <v>14.029299736022899</v>
      </c>
      <c r="N68" s="1" cm="1">
        <f t="array" ref="N68">[1]!s_val_pe_ttm(N$6,$A68)</f>
        <v>28.7837009429932</v>
      </c>
      <c r="O68" s="1" cm="1">
        <f t="array" ref="O68">[1]!s_val_pb_lf(O$6,$A68)</f>
        <v>1.30260002613068</v>
      </c>
      <c r="P68" s="1" cm="1">
        <f t="array" ref="P68">[1]!s_val_pb_lf(P$6,$A68)</f>
        <v>5.1283001899719203</v>
      </c>
      <c r="Q68" s="1">
        <f>[1]!cb_anal_convpremiumratio($Q$6,A68-2)</f>
        <v>45.615649221789802</v>
      </c>
      <c r="S68" s="1">
        <f>[1]!cb_anal_straightbondpremiumratio($S$6,A68-3)</f>
        <v>0</v>
      </c>
      <c r="T68" s="9" cm="1">
        <f t="array" ref="T68">[1]!s_dq_close(T$6,$A68,1)</f>
        <v>15.24</v>
      </c>
      <c r="U68" s="9" cm="1">
        <f t="array" ref="U68">[1]!s_dq_close(U$6,$A68,1)</f>
        <v>7.2451999999999996</v>
      </c>
      <c r="V68" s="9" cm="1">
        <f t="array" ref="V68">[1]!s_dq_close(V$6,$A68,1)</f>
        <v>107.4911</v>
      </c>
      <c r="W68" s="11" cm="1">
        <f t="array" ref="W68">[1]!s_dq_close(W$6,$A68,1)</f>
        <v>627.88</v>
      </c>
      <c r="X68" s="11" cm="1">
        <f t="array" ref="X68">[1]!s_dq_close(X$6,$A68,1)</f>
        <v>2718.2</v>
      </c>
      <c r="Y68" s="11" cm="1">
        <f t="array" ref="Y68">[1]!s_dq_close(Y$6,$A68,1)</f>
        <v>71.180000000000007</v>
      </c>
      <c r="Z68" s="11" cm="1">
        <f t="array" ref="Z68">[1]!s_dq_close(Z$6,$A68,1)</f>
        <v>75.28</v>
      </c>
      <c r="AA68" s="12" cm="1">
        <f t="array" ref="AA68">[1]!s_dq_oi(AA$6,$A68)</f>
        <v>2091800</v>
      </c>
      <c r="AB68" s="12" cm="1">
        <f t="array" ref="AB68">[1]!s_dq_close(AB$6,$A68,1)</f>
        <v>2767</v>
      </c>
      <c r="AC68" s="12" cm="1">
        <f t="array" ref="AC68">[1]!s_dq_close(AC$6,$A68,1)</f>
        <v>3012.86</v>
      </c>
      <c r="AD68" s="12" cm="1">
        <f t="array" ref="AD68">[1]!s_dq_close(AD$6,$A68,1)</f>
        <v>3277</v>
      </c>
      <c r="AE68" s="12" cm="1">
        <f t="array" ref="AE68">[1]!s_dq_close(AE$6,$A68,1)</f>
        <v>3448</v>
      </c>
      <c r="AF68" s="12" cm="1">
        <f t="array" ref="AF68">[1]!s_dq_close(AF$6,$A68,1)</f>
        <v>769</v>
      </c>
      <c r="AG68" s="12">
        <f>[1]!s_dq_close($AG$6,$A68)</f>
        <v>-2255</v>
      </c>
      <c r="AH68" s="11">
        <f>[1]!s_dq_close($AH$6,A68)</f>
        <v>7.2596999999999996</v>
      </c>
    </row>
    <row r="69" spans="1:34">
      <c r="A69" s="5">
        <v>45613</v>
      </c>
      <c r="B69" s="6">
        <v>2.0948000000000002</v>
      </c>
      <c r="C69" s="6">
        <v>2.1543000000000001</v>
      </c>
      <c r="D69" s="6">
        <v>2.0756999999999999</v>
      </c>
      <c r="E69" s="6">
        <v>4.43</v>
      </c>
      <c r="F69" s="6">
        <v>1.6489</v>
      </c>
      <c r="G69" s="6">
        <v>1.9715</v>
      </c>
      <c r="H69" s="6">
        <v>4.34</v>
      </c>
      <c r="I69" s="6">
        <v>1.4034</v>
      </c>
      <c r="J69" s="10">
        <v>2.1</v>
      </c>
      <c r="K69" s="10">
        <v>0</v>
      </c>
      <c r="L69" s="10"/>
      <c r="M69" s="1" cm="1">
        <f t="array" ref="M69">[1]!s_val_pe_ttm(M$6,$A69)</f>
        <v>14.288700103759799</v>
      </c>
      <c r="N69" s="1" cm="1">
        <f t="array" ref="N69">[1]!s_val_pe_ttm(N$6,$A69)</f>
        <v>28.558900833129901</v>
      </c>
      <c r="O69" s="1" cm="1">
        <f t="array" ref="O69">[1]!s_val_pb_lf(O$6,$A69)</f>
        <v>1.32679998874664</v>
      </c>
      <c r="P69" s="1" cm="1">
        <f t="array" ref="P69">[1]!s_val_pb_lf(P$6,$A69)</f>
        <v>5.0598998069763201</v>
      </c>
      <c r="Q69" s="1">
        <f>[1]!cb_anal_convpremiumratio($Q$6,A69-2)</f>
        <v>43.395660536398502</v>
      </c>
      <c r="S69" s="1">
        <f>[1]!cb_anal_straightbondpremiumratio($S$6,A69-3)</f>
        <v>0</v>
      </c>
      <c r="T69" s="9" cm="1">
        <f t="array" ref="T69">[1]!s_dq_close(T$6,$A69,1)</f>
        <v>16.14</v>
      </c>
      <c r="U69" s="9" cm="1">
        <f t="array" ref="U69">[1]!s_dq_close(U$6,$A69,1)</f>
        <v>7.2309999999999999</v>
      </c>
      <c r="V69" s="9" cm="1">
        <f t="array" ref="V69">[1]!s_dq_close(V$6,$A69,1)</f>
        <v>106.6842</v>
      </c>
      <c r="W69" s="11" cm="1">
        <f t="array" ref="W69">[1]!s_dq_close(W$6,$A69,1)</f>
        <v>593.29999999999995</v>
      </c>
      <c r="X69" s="11" cm="1">
        <f t="array" ref="X69">[1]!s_dq_close(X$6,$A69,1)</f>
        <v>2567.4</v>
      </c>
      <c r="Y69" s="11" cm="1">
        <f t="array" ref="Y69">[1]!s_dq_close(Y$6,$A69,1)</f>
        <v>66.95</v>
      </c>
      <c r="Z69" s="11" cm="1">
        <f t="array" ref="Z69">[1]!s_dq_close(Z$6,$A69,1)</f>
        <v>71.05</v>
      </c>
      <c r="AA69" s="12" cm="1">
        <f t="array" ref="AA69">[1]!s_dq_oi(AA$6,$A69)</f>
        <v>1850270</v>
      </c>
      <c r="AB69" s="12" cm="1">
        <f t="array" ref="AB69">[1]!s_dq_close(AB$6,$A69,1)</f>
        <v>2814</v>
      </c>
      <c r="AC69" s="12" cm="1">
        <f t="array" ref="AC69">[1]!s_dq_close(AC$6,$A69,1)</f>
        <v>3035.14</v>
      </c>
      <c r="AD69" s="12" cm="1">
        <f t="array" ref="AD69">[1]!s_dq_close(AD$6,$A69,1)</f>
        <v>3232</v>
      </c>
      <c r="AE69" s="12" cm="1">
        <f t="array" ref="AE69">[1]!s_dq_close(AE$6,$A69,1)</f>
        <v>3420</v>
      </c>
      <c r="AF69" s="12" cm="1">
        <f t="array" ref="AF69">[1]!s_dq_close(AF$6,$A69,1)</f>
        <v>736</v>
      </c>
      <c r="AG69" s="12">
        <f>[1]!s_dq_close($AG$6,$A69)</f>
        <v>-2222</v>
      </c>
      <c r="AH69" s="11">
        <f>[1]!s_dq_close($AH$6,A69)</f>
        <v>7.2361000000000004</v>
      </c>
    </row>
    <row r="70" spans="1:34">
      <c r="A70" s="5">
        <v>45606</v>
      </c>
      <c r="B70" s="6">
        <v>2.1067</v>
      </c>
      <c r="C70" s="6">
        <v>2.1738</v>
      </c>
      <c r="D70" s="6">
        <v>2.0962000000000001</v>
      </c>
      <c r="E70" s="6">
        <v>4.3</v>
      </c>
      <c r="F70" s="6">
        <v>1.6517999999999999</v>
      </c>
      <c r="G70" s="6">
        <v>1.9837</v>
      </c>
      <c r="H70" s="6">
        <v>4.32</v>
      </c>
      <c r="I70" s="6">
        <v>1.4175</v>
      </c>
      <c r="J70" s="10">
        <v>1.95</v>
      </c>
      <c r="K70" s="10">
        <v>209.6</v>
      </c>
      <c r="L70" s="10"/>
      <c r="M70" s="1" cm="1">
        <f t="array" ref="M70">[1]!s_val_pe_ttm(M$6,$A70)</f>
        <v>14.7638998031616</v>
      </c>
      <c r="N70" s="1" cm="1">
        <f t="array" ref="N70">[1]!s_val_pe_ttm(N$6,$A70)</f>
        <v>29.122499465942401</v>
      </c>
      <c r="O70" s="1" cm="1">
        <f t="array" ref="O70">[1]!s_val_pb_lf(O$6,$A70)</f>
        <v>1.37119996547699</v>
      </c>
      <c r="P70" s="1" cm="1">
        <f t="array" ref="P70">[1]!s_val_pb_lf(P$6,$A70)</f>
        <v>5.17320013046265</v>
      </c>
      <c r="Q70" s="1">
        <f>[1]!cb_anal_convpremiumratio($Q$6,A70-2)</f>
        <v>40.963490909090901</v>
      </c>
      <c r="S70" s="1">
        <f>[1]!cb_anal_straightbondpremiumratio($S$6,A70-3)</f>
        <v>0</v>
      </c>
      <c r="T70" s="9" cm="1">
        <f t="array" ref="T70">[1]!s_dq_close(T$6,$A70,1)</f>
        <v>14.94</v>
      </c>
      <c r="U70" s="9" cm="1">
        <f t="array" ref="U70">[1]!s_dq_close(U$6,$A70,1)</f>
        <v>7.1647999999999996</v>
      </c>
      <c r="V70" s="9" cm="1">
        <f t="array" ref="V70">[1]!s_dq_close(V$6,$A70,1)</f>
        <v>104.9521</v>
      </c>
      <c r="W70" s="11" cm="1">
        <f t="array" ref="W70">[1]!s_dq_close(W$6,$A70,1)</f>
        <v>615.48</v>
      </c>
      <c r="X70" s="11" cm="1">
        <f t="array" ref="X70">[1]!s_dq_close(X$6,$A70,1)</f>
        <v>2691.7</v>
      </c>
      <c r="Y70" s="11" cm="1">
        <f t="array" ref="Y70">[1]!s_dq_close(Y$6,$A70,1)</f>
        <v>70.430000000000007</v>
      </c>
      <c r="Z70" s="11" cm="1">
        <f t="array" ref="Z70">[1]!s_dq_close(Z$6,$A70,1)</f>
        <v>73.900000000000006</v>
      </c>
      <c r="AA70" s="12" cm="1">
        <f t="array" ref="AA70">[1]!s_dq_oi(AA$6,$A70)</f>
        <v>1443959</v>
      </c>
      <c r="AB70" s="12" cm="1">
        <f t="array" ref="AB70">[1]!s_dq_close(AB$6,$A70,1)</f>
        <v>3013</v>
      </c>
      <c r="AC70" s="12" cm="1">
        <f t="array" ref="AC70">[1]!s_dq_close(AC$6,$A70,1)</f>
        <v>3174.86</v>
      </c>
      <c r="AD70" s="12" cm="1">
        <f t="array" ref="AD70">[1]!s_dq_close(AD$6,$A70,1)</f>
        <v>3367</v>
      </c>
      <c r="AE70" s="12" cm="1">
        <f t="array" ref="AE70">[1]!s_dq_close(AE$6,$A70,1)</f>
        <v>3541</v>
      </c>
      <c r="AF70" s="12" cm="1">
        <f t="array" ref="AF70">[1]!s_dq_close(AF$6,$A70,1)</f>
        <v>776</v>
      </c>
      <c r="AG70" s="12">
        <f>[1]!s_dq_close($AG$6,$A70)</f>
        <v>-2132</v>
      </c>
      <c r="AH70" s="11">
        <f>[1]!s_dq_close($AH$6,A70)</f>
        <v>7.1989999999999998</v>
      </c>
    </row>
    <row r="71" spans="1:34">
      <c r="A71" s="5">
        <v>45599</v>
      </c>
      <c r="B71" s="6">
        <v>2.1406000000000001</v>
      </c>
      <c r="C71" s="6">
        <v>2.2092999999999998</v>
      </c>
      <c r="D71" s="6">
        <v>2.1751</v>
      </c>
      <c r="E71" s="6">
        <v>4.37</v>
      </c>
      <c r="F71" s="6">
        <v>1.6878</v>
      </c>
      <c r="G71" s="6">
        <v>2.0449999999999999</v>
      </c>
      <c r="H71" s="6">
        <v>4.28</v>
      </c>
      <c r="I71" s="6">
        <v>1.4338</v>
      </c>
      <c r="J71" s="10">
        <v>2.04</v>
      </c>
      <c r="K71" s="10">
        <v>209.3</v>
      </c>
      <c r="L71" s="10"/>
      <c r="M71" s="1" cm="1">
        <f t="array" ref="M71">[1]!s_val_pe_ttm(M$6,$A71)</f>
        <v>14.067899703979499</v>
      </c>
      <c r="N71" s="1" cm="1">
        <f t="array" ref="N71">[1]!s_val_pe_ttm(N$6,$A71)</f>
        <v>27.714300155639599</v>
      </c>
      <c r="O71" s="1" cm="1">
        <f t="array" ref="O71">[1]!s_val_pb_lf(O$6,$A71)</f>
        <v>1.3063999414444001</v>
      </c>
      <c r="P71" s="1" cm="1">
        <f t="array" ref="P71">[1]!s_val_pb_lf(P$6,$A71)</f>
        <v>4.9619002342224103</v>
      </c>
      <c r="Q71" s="1">
        <f>[1]!cb_anal_convpremiumratio($Q$6,A71-2)</f>
        <v>48.0794457786116</v>
      </c>
      <c r="S71" s="1">
        <f>[1]!cb_anal_straightbondpremiumratio($S$6,A71-3)</f>
        <v>0</v>
      </c>
      <c r="T71" s="9" cm="1">
        <f t="array" ref="T71">[1]!s_dq_close(T$6,$A71,1)</f>
        <v>21.88</v>
      </c>
      <c r="U71" s="9" cm="1">
        <f t="array" ref="U71">[1]!s_dq_close(U$6,$A71,1)</f>
        <v>7.125</v>
      </c>
      <c r="V71" s="9" cm="1">
        <f t="array" ref="V71">[1]!s_dq_close(V$6,$A71,1)</f>
        <v>104.3228</v>
      </c>
      <c r="W71" s="11" cm="1">
        <f t="array" ref="W71">[1]!s_dq_close(W$6,$A71,1)</f>
        <v>629.72</v>
      </c>
      <c r="X71" s="11" cm="1">
        <f t="array" ref="X71">[1]!s_dq_close(X$6,$A71,1)</f>
        <v>2745.9</v>
      </c>
      <c r="Y71" s="11" cm="1">
        <f t="array" ref="Y71">[1]!s_dq_close(Y$6,$A71,1)</f>
        <v>69.33</v>
      </c>
      <c r="Z71" s="11" cm="1">
        <f t="array" ref="Z71">[1]!s_dq_close(Z$6,$A71,1)</f>
        <v>72.94</v>
      </c>
      <c r="AA71" s="12" cm="1">
        <f t="array" ref="AA71">[1]!s_dq_oi(AA$6,$A71)</f>
        <v>1613832</v>
      </c>
      <c r="AB71" s="12" cm="1">
        <f t="array" ref="AB71">[1]!s_dq_close(AB$6,$A71,1)</f>
        <v>2963</v>
      </c>
      <c r="AC71" s="12" cm="1">
        <f t="array" ref="AC71">[1]!s_dq_close(AC$6,$A71,1)</f>
        <v>3064.86</v>
      </c>
      <c r="AD71" s="12" cm="1">
        <f t="array" ref="AD71">[1]!s_dq_close(AD$6,$A71,1)</f>
        <v>3393</v>
      </c>
      <c r="AE71" s="12" cm="1">
        <f t="array" ref="AE71">[1]!s_dq_close(AE$6,$A71,1)</f>
        <v>3559</v>
      </c>
      <c r="AF71" s="12" cm="1">
        <f t="array" ref="AF71">[1]!s_dq_close(AF$6,$A71,1)</f>
        <v>770.5</v>
      </c>
      <c r="AG71" s="12">
        <f>[1]!s_dq_close($AG$6,$A71)</f>
        <v>-2153</v>
      </c>
      <c r="AH71" s="11">
        <f>[1]!s_dq_close($AH$6,A71)</f>
        <v>7.1384999999999996</v>
      </c>
    </row>
    <row r="72" spans="1:34">
      <c r="A72" s="5">
        <v>45592</v>
      </c>
      <c r="B72" s="6">
        <v>2.1539000000000001</v>
      </c>
      <c r="C72" s="6">
        <v>2.2313000000000001</v>
      </c>
      <c r="D72" s="6">
        <v>2.1941000000000002</v>
      </c>
      <c r="E72" s="6">
        <v>4.25</v>
      </c>
      <c r="F72" s="6">
        <v>1.7408999999999999</v>
      </c>
      <c r="G72" s="6">
        <v>2.0607000000000002</v>
      </c>
      <c r="H72" s="6">
        <v>4.29</v>
      </c>
      <c r="I72" s="6">
        <v>1.4975000000000001</v>
      </c>
      <c r="J72" s="10">
        <v>1.96</v>
      </c>
      <c r="K72" s="10">
        <v>0</v>
      </c>
      <c r="L72" s="10"/>
      <c r="M72" s="1" cm="1">
        <f t="array" ref="M72">[1]!s_val_pe_ttm(M$6,$A72)</f>
        <v>14.4196996688843</v>
      </c>
      <c r="N72" s="1" cm="1">
        <f t="array" ref="N72">[1]!s_val_pe_ttm(N$6,$A72)</f>
        <v>28.683599472045898</v>
      </c>
      <c r="O72" s="1" cm="1">
        <f t="array" ref="O72">[1]!s_val_pb_lf(O$6,$A72)</f>
        <v>1.3499000072479199</v>
      </c>
      <c r="P72" s="1" cm="1">
        <f t="array" ref="P72">[1]!s_val_pb_lf(P$6,$A72)</f>
        <v>5.08970022201538</v>
      </c>
      <c r="Q72" s="1">
        <f>[1]!cb_anal_convpremiumratio($Q$6,A72-2)</f>
        <v>47.171342242990598</v>
      </c>
      <c r="S72" s="1">
        <f>[1]!cb_anal_straightbondpremiumratio($S$6,A72-3)</f>
        <v>0</v>
      </c>
      <c r="T72" s="9" cm="1">
        <f t="array" ref="T72">[1]!s_dq_close(T$6,$A72,1)</f>
        <v>20.329999999999998</v>
      </c>
      <c r="U72" s="9" cm="1">
        <f t="array" ref="U72">[1]!s_dq_close(U$6,$A72,1)</f>
        <v>7.1219000000000001</v>
      </c>
      <c r="V72" s="9" cm="1">
        <f t="array" ref="V72">[1]!s_dq_close(V$6,$A72,1)</f>
        <v>104.31529999999999</v>
      </c>
      <c r="W72" s="11" cm="1">
        <f t="array" ref="W72">[1]!s_dq_close(W$6,$A72,1)</f>
        <v>624.72</v>
      </c>
      <c r="X72" s="11" cm="1">
        <f t="array" ref="X72">[1]!s_dq_close(X$6,$A72,1)</f>
        <v>2760.8</v>
      </c>
      <c r="Y72" s="11" cm="1">
        <f t="array" ref="Y72">[1]!s_dq_close(Y$6,$A72,1)</f>
        <v>71.69</v>
      </c>
      <c r="Z72" s="11" cm="1">
        <f t="array" ref="Z72">[1]!s_dq_close(Z$6,$A72,1)</f>
        <v>75.900000000000006</v>
      </c>
      <c r="AA72" s="12" cm="1">
        <f t="array" ref="AA72">[1]!s_dq_oi(AA$6,$A72)</f>
        <v>1650157</v>
      </c>
      <c r="AB72" s="12" cm="1">
        <f t="array" ref="AB72">[1]!s_dq_close(AB$6,$A72,1)</f>
        <v>2948</v>
      </c>
      <c r="AC72" s="12" cm="1">
        <f t="array" ref="AC72">[1]!s_dq_close(AC$6,$A72,1)</f>
        <v>3038.29</v>
      </c>
      <c r="AD72" s="12" cm="1">
        <f t="array" ref="AD72">[1]!s_dq_close(AD$6,$A72,1)</f>
        <v>3376</v>
      </c>
      <c r="AE72" s="12" cm="1">
        <f t="array" ref="AE72">[1]!s_dq_close(AE$6,$A72,1)</f>
        <v>3540</v>
      </c>
      <c r="AF72" s="12" cm="1">
        <f t="array" ref="AF72">[1]!s_dq_close(AF$6,$A72,1)</f>
        <v>769.5</v>
      </c>
      <c r="AG72" s="12">
        <f>[1]!s_dq_close($AG$6,$A72)</f>
        <v>-2145</v>
      </c>
      <c r="AH72" s="11">
        <f>[1]!s_dq_close($AH$6,A72)</f>
        <v>7.1351000000000004</v>
      </c>
    </row>
    <row r="73" spans="1:34">
      <c r="A73" s="5">
        <v>45585</v>
      </c>
      <c r="B73" s="6">
        <v>2.1208999999999998</v>
      </c>
      <c r="C73" s="6">
        <v>2.2002999999999999</v>
      </c>
      <c r="D73" s="6">
        <v>2.1063000000000001</v>
      </c>
      <c r="E73" s="6">
        <v>4.08</v>
      </c>
      <c r="F73" s="6">
        <v>1.7141999999999999</v>
      </c>
      <c r="G73" s="6">
        <v>2.0131000000000001</v>
      </c>
      <c r="H73" s="6">
        <v>4.1900000000000004</v>
      </c>
      <c r="I73" s="6">
        <v>1.5047999999999999</v>
      </c>
      <c r="J73" s="10">
        <v>1.77</v>
      </c>
      <c r="K73" s="10">
        <v>207.2</v>
      </c>
      <c r="L73" s="10"/>
      <c r="M73" s="1" cm="1">
        <f t="array" ref="M73">[1]!s_val_pe_ttm(M$6,$A73)</f>
        <v>14.413499832153301</v>
      </c>
      <c r="N73" s="1" cm="1">
        <f t="array" ref="N73">[1]!s_val_pe_ttm(N$6,$A73)</f>
        <v>28.9894008636475</v>
      </c>
      <c r="O73" s="1" cm="1">
        <f t="array" ref="O73">[1]!s_val_pb_lf(O$6,$A73)</f>
        <v>1.3468999862670901</v>
      </c>
      <c r="P73" s="1" cm="1">
        <f t="array" ref="P73">[1]!s_val_pb_lf(P$6,$A73)</f>
        <v>5.1480998992919904</v>
      </c>
      <c r="Q73" s="1">
        <f>[1]!cb_anal_convpremiumratio($Q$6,A73-2)</f>
        <v>52.005855700934603</v>
      </c>
      <c r="S73" s="1">
        <f>[1]!cb_anal_straightbondpremiumratio($S$6,A73-3)</f>
        <v>0</v>
      </c>
      <c r="T73" s="9" cm="1">
        <f t="array" ref="T73">[1]!s_dq_close(T$6,$A73,1)</f>
        <v>18.03</v>
      </c>
      <c r="U73" s="9" cm="1">
        <f t="array" ref="U73">[1]!s_dq_close(U$6,$A73,1)</f>
        <v>7.1035000000000004</v>
      </c>
      <c r="V73" s="9" cm="1">
        <f t="array" ref="V73">[1]!s_dq_close(V$6,$A73,1)</f>
        <v>103.4615</v>
      </c>
      <c r="W73" s="11" cm="1">
        <f t="array" ref="W73">[1]!s_dq_close(W$6,$A73,1)</f>
        <v>619.05999999999995</v>
      </c>
      <c r="X73" s="11" cm="1">
        <f t="array" ref="X73">[1]!s_dq_close(X$6,$A73,1)</f>
        <v>2736.4</v>
      </c>
      <c r="Y73" s="11" cm="1">
        <f t="array" ref="Y73">[1]!s_dq_close(Y$6,$A73,1)</f>
        <v>68.84</v>
      </c>
      <c r="Z73" s="11" cm="1">
        <f t="array" ref="Z73">[1]!s_dq_close(Z$6,$A73,1)</f>
        <v>73.17</v>
      </c>
      <c r="AA73" s="12" cm="1">
        <f t="array" ref="AA73">[1]!s_dq_oi(AA$6,$A73)</f>
        <v>1514911</v>
      </c>
      <c r="AB73" s="12" cm="1">
        <f t="array" ref="AB73">[1]!s_dq_close(AB$6,$A73,1)</f>
        <v>2995</v>
      </c>
      <c r="AC73" s="12" cm="1">
        <f t="array" ref="AC73">[1]!s_dq_close(AC$6,$A73,1)</f>
        <v>3055.14</v>
      </c>
      <c r="AD73" s="12" cm="1">
        <f t="array" ref="AD73">[1]!s_dq_close(AD$6,$A73,1)</f>
        <v>3336</v>
      </c>
      <c r="AE73" s="12" cm="1">
        <f t="array" ref="AE73">[1]!s_dq_close(AE$6,$A73,1)</f>
        <v>3511</v>
      </c>
      <c r="AF73" s="12" cm="1">
        <f t="array" ref="AF73">[1]!s_dq_close(AF$6,$A73,1)</f>
        <v>760.5</v>
      </c>
      <c r="AG73" s="12">
        <f>[1]!s_dq_close($AG$6,$A73)</f>
        <v>-1977</v>
      </c>
      <c r="AH73" s="11">
        <f>[1]!s_dq_close($AH$6,A73)</f>
        <v>7.1181000000000001</v>
      </c>
    </row>
    <row r="74" spans="1:34">
      <c r="A74" s="5">
        <v>45578</v>
      </c>
      <c r="B74" s="6">
        <v>2.1440999999999999</v>
      </c>
      <c r="C74" s="6">
        <v>2.2254999999999998</v>
      </c>
      <c r="D74" s="6">
        <v>2.2159</v>
      </c>
      <c r="E74" s="6">
        <v>4.08</v>
      </c>
      <c r="F74" s="6">
        <v>1.7299</v>
      </c>
      <c r="G74" s="6">
        <v>2.0947</v>
      </c>
      <c r="H74" s="6">
        <v>4.18</v>
      </c>
      <c r="I74" s="6">
        <v>1.5549999999999999</v>
      </c>
      <c r="J74" s="10">
        <v>1.75</v>
      </c>
      <c r="K74" s="10">
        <v>204.9</v>
      </c>
      <c r="L74" s="10"/>
      <c r="M74" s="1" cm="1">
        <f t="array" ref="M74">[1]!s_val_pe_ttm(M$6,$A74)</f>
        <v>14.2544002532959</v>
      </c>
      <c r="N74" s="1" cm="1">
        <f t="array" ref="N74">[1]!s_val_pe_ttm(N$6,$A74)</f>
        <v>28.433799743652301</v>
      </c>
      <c r="O74" s="1" cm="1">
        <f t="array" ref="O74">[1]!s_val_pb_lf(O$6,$A74)</f>
        <v>1.3288999795913701</v>
      </c>
      <c r="P74" s="1" cm="1">
        <f t="array" ref="P74">[1]!s_val_pb_lf(P$6,$A74)</f>
        <v>5.1283998489379901</v>
      </c>
      <c r="Q74" s="1">
        <f>[1]!cb_anal_convpremiumratio($Q$6,A74-2)</f>
        <v>53.2400644859813</v>
      </c>
      <c r="S74" s="1">
        <f>[1]!cb_anal_straightbondpremiumratio($S$6,A74-3)</f>
        <v>0</v>
      </c>
      <c r="T74" s="9" cm="1">
        <f t="array" ref="T74">[1]!s_dq_close(T$6,$A74,1)</f>
        <v>20.46</v>
      </c>
      <c r="U74" s="9" cm="1">
        <f t="array" ref="U74">[1]!s_dq_close(U$6,$A74,1)</f>
        <v>7.0675999999999997</v>
      </c>
      <c r="V74" s="9" cm="1">
        <f t="array" ref="V74">[1]!s_dq_close(V$6,$A74,1)</f>
        <v>102.9254</v>
      </c>
      <c r="W74" s="11" cm="1">
        <f t="array" ref="W74">[1]!s_dq_close(W$6,$A74,1)</f>
        <v>597.38</v>
      </c>
      <c r="X74" s="11" cm="1">
        <f t="array" ref="X74">[1]!s_dq_close(X$6,$A74,1)</f>
        <v>2674.2</v>
      </c>
      <c r="Y74" s="11" cm="1">
        <f t="array" ref="Y74">[1]!s_dq_close(Y$6,$A74,1)</f>
        <v>75.489999999999995</v>
      </c>
      <c r="Z74" s="11" cm="1">
        <f t="array" ref="Z74">[1]!s_dq_close(Z$6,$A74,1)</f>
        <v>78.790000000000006</v>
      </c>
      <c r="AA74" s="12" cm="1">
        <f t="array" ref="AA74">[1]!s_dq_oi(AA$6,$A74)</f>
        <v>1554800</v>
      </c>
      <c r="AB74" s="12" cm="1">
        <f t="array" ref="AB74">[1]!s_dq_close(AB$6,$A74,1)</f>
        <v>2974</v>
      </c>
      <c r="AC74" s="12" cm="1">
        <f t="array" ref="AC74">[1]!s_dq_close(AC$6,$A74,1)</f>
        <v>3090.29</v>
      </c>
      <c r="AD74" s="12" cm="1">
        <f t="array" ref="AD74">[1]!s_dq_close(AD$6,$A74,1)</f>
        <v>3468</v>
      </c>
      <c r="AE74" s="12" cm="1">
        <f t="array" ref="AE74">[1]!s_dq_close(AE$6,$A74,1)</f>
        <v>3599</v>
      </c>
      <c r="AF74" s="12" cm="1">
        <f t="array" ref="AF74">[1]!s_dq_close(AF$6,$A74,1)</f>
        <v>789</v>
      </c>
      <c r="AG74" s="12">
        <f>[1]!s_dq_close($AG$6,$A74)</f>
        <v>-1822</v>
      </c>
      <c r="AH74" s="11">
        <f>[1]!s_dq_close($AH$6,A74)</f>
        <v>7.0704000000000002</v>
      </c>
    </row>
    <row r="75" spans="1:34">
      <c r="A75" s="5">
        <v>45571</v>
      </c>
      <c r="B75" s="6">
        <v>2.1518000000000002</v>
      </c>
      <c r="C75" s="6">
        <v>2.2462</v>
      </c>
      <c r="D75" s="6">
        <v>2.2597999999999998</v>
      </c>
      <c r="E75" s="6">
        <v>3.98</v>
      </c>
      <c r="F75" s="6">
        <v>1.6508</v>
      </c>
      <c r="G75" s="6">
        <v>2.1680999999999999</v>
      </c>
      <c r="H75" s="6">
        <v>4.2</v>
      </c>
      <c r="I75" s="6">
        <v>1.4590000000000001</v>
      </c>
      <c r="J75" s="10">
        <v>1.75</v>
      </c>
      <c r="K75" s="10">
        <v>201.4</v>
      </c>
      <c r="L75" s="10"/>
      <c r="M75" s="1" cm="1">
        <f t="array" ref="M75">[1]!s_val_pe_ttm(M$6,$A75)</f>
        <v>14.6778001785278</v>
      </c>
      <c r="N75" s="1" cm="1">
        <f t="array" ref="N75">[1]!s_val_pe_ttm(N$6,$A75)</f>
        <v>28.138200759887699</v>
      </c>
      <c r="O75" s="1" cm="1">
        <f t="array" ref="O75">[1]!s_val_pb_lf(O$6,$A75)</f>
        <v>1.3683999776840201</v>
      </c>
      <c r="P75" s="1" cm="1">
        <f t="array" ref="P75">[1]!s_val_pb_lf(P$6,$A75)</f>
        <v>5.0833001136779803</v>
      </c>
      <c r="Q75" s="1">
        <f>[1]!cb_anal_convpremiumratio($Q$6,A75-2)</f>
        <v>0</v>
      </c>
      <c r="S75" s="1">
        <f>[1]!cb_anal_straightbondpremiumratio($S$6,A75-3)</f>
        <v>0</v>
      </c>
      <c r="T75" s="9" cm="1">
        <f t="array" ref="T75">[1]!s_dq_close(T$6,$A75,1)</f>
        <v>19.21</v>
      </c>
      <c r="U75" s="9" cm="1">
        <f t="array" ref="U75">[1]!s_dq_close(U$6,$A75,1)</f>
        <v>7.0156000000000001</v>
      </c>
      <c r="V75" s="9" cm="1">
        <f t="array" ref="V75">[1]!s_dq_close(V$6,$A75,1)</f>
        <v>102.49299999999999</v>
      </c>
      <c r="W75" s="11" cm="1">
        <f t="array" ref="W75">[1]!s_dq_close(W$6,$A75,1)</f>
        <v>596.72</v>
      </c>
      <c r="X75" s="11" cm="1">
        <f t="array" ref="X75">[1]!s_dq_close(X$6,$A75,1)</f>
        <v>2673.2</v>
      </c>
      <c r="Y75" s="11" cm="1">
        <f t="array" ref="Y75">[1]!s_dq_close(Y$6,$A75,1)</f>
        <v>74.45</v>
      </c>
      <c r="Z75" s="11" cm="1">
        <f t="array" ref="Z75">[1]!s_dq_close(Z$6,$A75,1)</f>
        <v>78.14</v>
      </c>
      <c r="AA75" s="12" cm="1">
        <f t="array" ref="AA75">[1]!s_dq_oi(AA$6,$A75)</f>
        <v>1342957</v>
      </c>
      <c r="AB75" s="12" cm="1">
        <f t="array" ref="AB75">[1]!s_dq_close(AB$6,$A75,1)</f>
        <v>3150</v>
      </c>
      <c r="AC75" s="12" cm="1">
        <f t="array" ref="AC75">[1]!s_dq_close(AC$6,$A75,1)</f>
        <v>3182.86</v>
      </c>
      <c r="AD75" s="12" cm="1">
        <f t="array" ref="AD75">[1]!s_dq_close(AD$6,$A75,1)</f>
        <v>3551</v>
      </c>
      <c r="AE75" s="12" cm="1">
        <f t="array" ref="AE75">[1]!s_dq_close(AE$6,$A75,1)</f>
        <v>3643</v>
      </c>
      <c r="AF75" s="12" cm="1">
        <f t="array" ref="AF75">[1]!s_dq_close(AF$6,$A75,1)</f>
        <v>821.5</v>
      </c>
      <c r="AG75" s="12">
        <f>[1]!s_dq_close($AG$6,$A75)</f>
        <v>-1701</v>
      </c>
      <c r="AH75" s="11">
        <f>[1]!s_dq_close($AH$6,A75)</f>
        <v>7.0990000000000002</v>
      </c>
    </row>
    <row r="76" spans="1:34">
      <c r="A76" s="5">
        <v>45564</v>
      </c>
      <c r="B76" s="6">
        <v>2.2534000000000001</v>
      </c>
      <c r="C76" s="6">
        <v>2.3355999999999999</v>
      </c>
      <c r="D76" s="6">
        <v>2.2553999999999998</v>
      </c>
      <c r="E76" s="6">
        <v>3.75</v>
      </c>
      <c r="F76" s="6">
        <v>1.6984999999999999</v>
      </c>
      <c r="G76" s="6">
        <v>2.1694</v>
      </c>
      <c r="H76" s="6">
        <v>3.9</v>
      </c>
      <c r="I76" s="6">
        <v>1.4890000000000001</v>
      </c>
      <c r="J76" s="10">
        <v>1.6</v>
      </c>
      <c r="K76" s="10">
        <v>0</v>
      </c>
      <c r="L76" s="10"/>
      <c r="M76" s="1" cm="1">
        <f t="array" ref="M76">[1]!s_val_pe_ttm(M$6,$A76)</f>
        <v>13.6204996109009</v>
      </c>
      <c r="N76" s="1" cm="1">
        <f t="array" ref="N76">[1]!s_val_pe_ttm(N$6,$A76)</f>
        <v>28.060100555419901</v>
      </c>
      <c r="O76" s="1" cm="1">
        <f t="array" ref="O76">[1]!s_val_pb_lf(O$6,$A76)</f>
        <v>1.2697999477386499</v>
      </c>
      <c r="P76" s="1" cm="1">
        <f t="array" ref="P76">[1]!s_val_pb_lf(P$6,$A76)</f>
        <v>5.0750999450683603</v>
      </c>
      <c r="Q76" s="1">
        <f>[1]!cb_anal_convpremiumratio($Q$6,A76-2)</f>
        <v>60.123669999999997</v>
      </c>
      <c r="S76" s="1">
        <f>[1]!cb_anal_straightbondpremiumratio($S$6,A76-3)</f>
        <v>0</v>
      </c>
      <c r="T76" s="9" cm="1">
        <f t="array" ref="T76">[1]!s_dq_close(T$6,$A76,1)</f>
        <v>16.96</v>
      </c>
      <c r="U76" s="9" cm="1">
        <f t="array" ref="U76">[1]!s_dq_close(U$6,$A76,1)</f>
        <v>7.016</v>
      </c>
      <c r="V76" s="9" cm="1">
        <f t="array" ref="V76">[1]!s_dq_close(V$6,$A76,1)</f>
        <v>100.4199</v>
      </c>
      <c r="W76" s="11" cm="1">
        <f t="array" ref="W76">[1]!s_dq_close(W$6,$A76,1)</f>
        <v>599.41999999999996</v>
      </c>
      <c r="X76" s="11" cm="1">
        <f t="array" ref="X76">[1]!s_dq_close(X$6,$A76,1)</f>
        <v>2680.8</v>
      </c>
      <c r="Y76" s="11" cm="1">
        <f t="array" ref="Y76">[1]!s_dq_close(Y$6,$A76,1)</f>
        <v>68.64</v>
      </c>
      <c r="Z76" s="11" cm="1">
        <f t="array" ref="Z76">[1]!s_dq_close(Z$6,$A76,1)</f>
        <v>71.98</v>
      </c>
      <c r="AA76" s="12" cm="1">
        <f t="array" ref="AA76">[1]!s_dq_oi(AA$6,$A76)</f>
        <v>1283304</v>
      </c>
      <c r="AB76" s="12" cm="1">
        <f t="array" ref="AB76">[1]!s_dq_close(AB$6,$A76,1)</f>
        <v>3089</v>
      </c>
      <c r="AC76" s="12" cm="1">
        <f t="array" ref="AC76">[1]!s_dq_close(AC$6,$A76,1)</f>
        <v>3179.43</v>
      </c>
      <c r="AD76" s="12" cm="1">
        <f t="array" ref="AD76">[1]!s_dq_close(AD$6,$A76,1)</f>
        <v>3341</v>
      </c>
      <c r="AE76" s="12" cm="1">
        <f t="array" ref="AE76">[1]!s_dq_close(AE$6,$A76,1)</f>
        <v>3430</v>
      </c>
      <c r="AF76" s="12" cm="1">
        <f t="array" ref="AF76">[1]!s_dq_close(AF$6,$A76,1)</f>
        <v>750</v>
      </c>
      <c r="AG76" s="12">
        <f>[1]!s_dq_close($AG$6,$A76)</f>
        <v>-1740</v>
      </c>
      <c r="AH76" s="11">
        <f>[1]!s_dq_close($AH$6,A76)</f>
        <v>6.9813999999999998</v>
      </c>
    </row>
    <row r="77" spans="1:34">
      <c r="A77" s="5">
        <v>45557</v>
      </c>
      <c r="B77" s="6">
        <v>2.0430999999999999</v>
      </c>
      <c r="C77" s="6">
        <v>2.1175000000000002</v>
      </c>
      <c r="D77" s="6">
        <v>2.0468999999999999</v>
      </c>
      <c r="E77" s="6">
        <v>3.73</v>
      </c>
      <c r="F77" s="6">
        <v>1.6616</v>
      </c>
      <c r="G77" s="6">
        <v>2.0108000000000001</v>
      </c>
      <c r="H77" s="6">
        <v>3.92</v>
      </c>
      <c r="I77" s="6">
        <v>1.3814</v>
      </c>
      <c r="J77" s="10">
        <v>1.58</v>
      </c>
      <c r="K77" s="10">
        <v>198.9</v>
      </c>
      <c r="L77" s="10"/>
      <c r="M77" s="1" cm="1">
        <f t="array" ref="M77">[1]!s_val_pe_ttm(M$6,$A77)</f>
        <v>12.1803998947144</v>
      </c>
      <c r="N77" s="1" cm="1">
        <f t="array" ref="N77">[1]!s_val_pe_ttm(N$6,$A77)</f>
        <v>27.923900604248001</v>
      </c>
      <c r="O77" s="1" cm="1">
        <f t="array" ref="O77">[1]!s_val_pb_lf(O$6,$A77)</f>
        <v>1.1354999542236299</v>
      </c>
      <c r="P77" s="1" cm="1">
        <f t="array" ref="P77">[1]!s_val_pb_lf(P$6,$A77)</f>
        <v>5.0286002159118697</v>
      </c>
      <c r="Q77" s="1">
        <f>[1]!cb_anal_convpremiumratio($Q$6,A77-2)</f>
        <v>74.457115471698103</v>
      </c>
      <c r="S77" s="1">
        <f>[1]!cb_anal_straightbondpremiumratio($S$6,A77-3)</f>
        <v>0</v>
      </c>
      <c r="T77" s="9" cm="1">
        <f t="array" ref="T77">[1]!s_dq_close(T$6,$A77,1)</f>
        <v>16.149999999999999</v>
      </c>
      <c r="U77" s="9" cm="1">
        <f t="array" ref="U77">[1]!s_dq_close(U$6,$A77,1)</f>
        <v>7.0552000000000001</v>
      </c>
      <c r="V77" s="9" cm="1">
        <f t="array" ref="V77">[1]!s_dq_close(V$6,$A77,1)</f>
        <v>100.73350000000001</v>
      </c>
      <c r="W77" s="11" cm="1">
        <f t="array" ref="W77">[1]!s_dq_close(W$6,$A77,1)</f>
        <v>590.62</v>
      </c>
      <c r="X77" s="11" cm="1">
        <f t="array" ref="X77">[1]!s_dq_close(X$6,$A77,1)</f>
        <v>2647.1</v>
      </c>
      <c r="Y77" s="11" cm="1">
        <f t="array" ref="Y77">[1]!s_dq_close(Y$6,$A77,1)</f>
        <v>71.25</v>
      </c>
      <c r="Z77" s="11" cm="1">
        <f t="array" ref="Z77">[1]!s_dq_close(Z$6,$A77,1)</f>
        <v>73.930000000000007</v>
      </c>
      <c r="AA77" s="12" cm="1">
        <f t="array" ref="AA77">[1]!s_dq_oi(AA$6,$A77)</f>
        <v>1339776</v>
      </c>
      <c r="AB77" s="12" cm="1">
        <f t="array" ref="AB77">[1]!s_dq_close(AB$6,$A77,1)</f>
        <v>3065</v>
      </c>
      <c r="AC77" s="12" cm="1">
        <f t="array" ref="AC77">[1]!s_dq_close(AC$6,$A77,1)</f>
        <v>3136.86</v>
      </c>
      <c r="AD77" s="12" cm="1">
        <f t="array" ref="AD77">[1]!s_dq_close(AD$6,$A77,1)</f>
        <v>3165</v>
      </c>
      <c r="AE77" s="12" cm="1">
        <f t="array" ref="AE77">[1]!s_dq_close(AE$6,$A77,1)</f>
        <v>3228</v>
      </c>
      <c r="AF77" s="12" cm="1">
        <f t="array" ref="AF77">[1]!s_dq_close(AF$6,$A77,1)</f>
        <v>680</v>
      </c>
      <c r="AG77" s="12">
        <f>[1]!s_dq_close($AG$6,$A77)</f>
        <v>-1850</v>
      </c>
      <c r="AH77" s="11">
        <f>[1]!s_dq_close($AH$6,A77)</f>
        <v>7.0416999999999996</v>
      </c>
    </row>
    <row r="78" spans="1:34">
      <c r="A78" s="5">
        <v>45550</v>
      </c>
      <c r="B78" s="6">
        <v>2.0425</v>
      </c>
      <c r="C78" s="6">
        <v>2.1274999999999999</v>
      </c>
      <c r="D78" s="6">
        <v>2.0453000000000001</v>
      </c>
      <c r="E78" s="6">
        <v>3.66</v>
      </c>
      <c r="F78" s="6">
        <v>1.6476</v>
      </c>
      <c r="G78" s="6">
        <v>2.0099999999999998</v>
      </c>
      <c r="H78" s="6">
        <v>4</v>
      </c>
      <c r="I78" s="6">
        <v>1.3340000000000001</v>
      </c>
      <c r="J78" s="10">
        <v>1.58</v>
      </c>
      <c r="K78" s="10">
        <v>193.6</v>
      </c>
      <c r="L78" s="10"/>
      <c r="M78" s="1" cm="1">
        <f t="array" ref="M78">[1]!s_val_pe_ttm(M$6,$A78)</f>
        <v>12.0131998062134</v>
      </c>
      <c r="N78" s="1" cm="1">
        <f t="array" ref="N78">[1]!s_val_pe_ttm(N$6,$A78)</f>
        <v>27.511299133300799</v>
      </c>
      <c r="O78" s="1" cm="1">
        <f t="array" ref="O78">[1]!s_val_pb_lf(O$6,$A78)</f>
        <v>1.1190999746322601</v>
      </c>
      <c r="P78" s="1" cm="1">
        <f t="array" ref="P78">[1]!s_val_pb_lf(P$6,$A78)</f>
        <v>4.9548997879028303</v>
      </c>
      <c r="Q78" s="1">
        <f>[1]!cb_anal_convpremiumratio($Q$6,A78-2)</f>
        <v>75.942711509434005</v>
      </c>
      <c r="S78" s="1">
        <f>[1]!cb_anal_straightbondpremiumratio($S$6,A78-3)</f>
        <v>0</v>
      </c>
      <c r="T78" s="9" cm="1">
        <f t="array" ref="T78">[1]!s_dq_close(T$6,$A78,1)</f>
        <v>16.559999999999999</v>
      </c>
      <c r="U78" s="9" cm="1">
        <f t="array" ref="U78">[1]!s_dq_close(U$6,$A78,1)</f>
        <v>7.0942999999999996</v>
      </c>
      <c r="V78" s="9" cm="1">
        <f t="array" ref="V78">[1]!s_dq_close(V$6,$A78,1)</f>
        <v>101.111</v>
      </c>
      <c r="W78" s="11" cm="1">
        <f t="array" ref="W78">[1]!s_dq_close(W$6,$A78,1)</f>
        <v>583.58000000000004</v>
      </c>
      <c r="X78" s="11" cm="1">
        <f t="array" ref="X78">[1]!s_dq_close(X$6,$A78,1)</f>
        <v>2606.1999999999998</v>
      </c>
      <c r="Y78" s="11" cm="1">
        <f t="array" ref="Y78">[1]!s_dq_close(Y$6,$A78,1)</f>
        <v>69.239999999999995</v>
      </c>
      <c r="Z78" s="11" cm="1">
        <f t="array" ref="Z78">[1]!s_dq_close(Z$6,$A78,1)</f>
        <v>71.48</v>
      </c>
      <c r="AA78" s="12" cm="1">
        <f t="array" ref="AA78">[1]!s_dq_oi(AA$6,$A78)</f>
        <v>1320196</v>
      </c>
      <c r="AB78" s="12" cm="1">
        <f t="array" ref="AB78">[1]!s_dq_close(AB$6,$A78,1)</f>
        <v>3075</v>
      </c>
      <c r="AC78" s="12" cm="1">
        <f t="array" ref="AC78">[1]!s_dq_close(AC$6,$A78,1)</f>
        <v>3117.14</v>
      </c>
      <c r="AD78" s="12" cm="1">
        <f t="array" ref="AD78">[1]!s_dq_close(AD$6,$A78,1)</f>
        <v>3190</v>
      </c>
      <c r="AE78" s="12" cm="1">
        <f t="array" ref="AE78">[1]!s_dq_close(AE$6,$A78,1)</f>
        <v>3245</v>
      </c>
      <c r="AF78" s="12" cm="1">
        <f t="array" ref="AF78">[1]!s_dq_close(AF$6,$A78,1)</f>
        <v>694</v>
      </c>
      <c r="AG78" s="12">
        <f>[1]!s_dq_close($AG$6,$A78)</f>
        <v>-2036</v>
      </c>
      <c r="AH78" s="11">
        <f>[1]!s_dq_close($AH$6,A78)</f>
        <v>7.1009000000000002</v>
      </c>
    </row>
    <row r="79" spans="1:34">
      <c r="A79" s="5">
        <v>45543</v>
      </c>
      <c r="B79" s="6">
        <v>2.1387999999999998</v>
      </c>
      <c r="C79" s="6">
        <v>2.2281</v>
      </c>
      <c r="D79" s="6">
        <v>2.0501</v>
      </c>
      <c r="E79" s="6">
        <v>3.72</v>
      </c>
      <c r="F79" s="6">
        <v>1.6851</v>
      </c>
      <c r="G79" s="6">
        <v>2.0099999999999998</v>
      </c>
      <c r="H79" s="6">
        <v>4.0999999999999996</v>
      </c>
      <c r="I79" s="6">
        <v>1.4424999999999999</v>
      </c>
      <c r="J79" s="10">
        <v>1.69</v>
      </c>
      <c r="K79" s="10">
        <v>0</v>
      </c>
      <c r="L79" s="10"/>
      <c r="M79" s="1" cm="1">
        <f t="array" ref="M79">[1]!s_val_pe_ttm(M$6,$A79)</f>
        <v>12.2742004394531</v>
      </c>
      <c r="N79" s="1" cm="1">
        <f t="array" ref="N79">[1]!s_val_pe_ttm(N$6,$A79)</f>
        <v>26.257200241088899</v>
      </c>
      <c r="O79" s="1" cm="1">
        <f t="array" ref="O79">[1]!s_val_pb_lf(O$6,$A79)</f>
        <v>1.14260005950928</v>
      </c>
      <c r="P79" s="1" cm="1">
        <f t="array" ref="P79">[1]!s_val_pb_lf(P$6,$A79)</f>
        <v>4.7262997627258301</v>
      </c>
      <c r="Q79" s="1">
        <f>[1]!cb_anal_convpremiumratio($Q$6,A79-2)</f>
        <v>75.779992641509395</v>
      </c>
      <c r="S79" s="1">
        <f>[1]!cb_anal_straightbondpremiumratio($S$6,A79-3)</f>
        <v>0</v>
      </c>
      <c r="T79" s="9" cm="1">
        <f t="array" ref="T79">[1]!s_dq_close(T$6,$A79,1)</f>
        <v>22.38</v>
      </c>
      <c r="U79" s="9" cm="1">
        <f t="array" ref="U79">[1]!s_dq_close(U$6,$A79,1)</f>
        <v>7.0881999999999996</v>
      </c>
      <c r="V79" s="9" cm="1">
        <f t="array" ref="V79">[1]!s_dq_close(V$6,$A79,1)</f>
        <v>101.18300000000001</v>
      </c>
      <c r="W79" s="11" cm="1">
        <f t="array" ref="W79">[1]!s_dq_close(W$6,$A79,1)</f>
        <v>573.67999999999995</v>
      </c>
      <c r="X79" s="11" cm="1">
        <f t="array" ref="X79">[1]!s_dq_close(X$6,$A79,1)</f>
        <v>2526.8000000000002</v>
      </c>
      <c r="Y79" s="11" cm="1">
        <f t="array" ref="Y79">[1]!s_dq_close(Y$6,$A79,1)</f>
        <v>68.16</v>
      </c>
      <c r="Z79" s="11" cm="1">
        <f t="array" ref="Z79">[1]!s_dq_close(Z$6,$A79,1)</f>
        <v>71.47</v>
      </c>
      <c r="AA79" s="12" cm="1">
        <f t="array" ref="AA79">[1]!s_dq_oi(AA$6,$A79)</f>
        <v>1434570</v>
      </c>
      <c r="AB79" s="12" cm="1">
        <f t="array" ref="AB79">[1]!s_dq_close(AB$6,$A79,1)</f>
        <v>3122</v>
      </c>
      <c r="AC79" s="12" cm="1">
        <f t="array" ref="AC79">[1]!s_dq_close(AC$6,$A79,1)</f>
        <v>3154.57</v>
      </c>
      <c r="AD79" s="12" cm="1">
        <f t="array" ref="AD79">[1]!s_dq_close(AD$6,$A79,1)</f>
        <v>3051</v>
      </c>
      <c r="AE79" s="12" cm="1">
        <f t="array" ref="AE79">[1]!s_dq_close(AE$6,$A79,1)</f>
        <v>3096</v>
      </c>
      <c r="AF79" s="12" cm="1">
        <f t="array" ref="AF79">[1]!s_dq_close(AF$6,$A79,1)</f>
        <v>684</v>
      </c>
      <c r="AG79" s="12">
        <f>[1]!s_dq_close($AG$6,$A79)</f>
        <v>-2120</v>
      </c>
      <c r="AH79" s="11">
        <f>[1]!s_dq_close($AH$6,A79)</f>
        <v>7.0944000000000003</v>
      </c>
    </row>
    <row r="80" spans="1:34">
      <c r="A80" s="5">
        <v>45536</v>
      </c>
      <c r="B80" s="6">
        <v>2.1703999999999999</v>
      </c>
      <c r="C80" s="6">
        <v>2.2601</v>
      </c>
      <c r="D80" s="6">
        <v>2.1158999999999999</v>
      </c>
      <c r="E80" s="6">
        <v>3.91</v>
      </c>
      <c r="F80" s="6">
        <v>1.7116</v>
      </c>
      <c r="G80" s="6">
        <v>2.0562999999999998</v>
      </c>
      <c r="H80" s="6">
        <v>4.38</v>
      </c>
      <c r="I80" s="6">
        <v>1.5197000000000001</v>
      </c>
      <c r="J80" s="10">
        <v>1.76</v>
      </c>
      <c r="K80" s="10">
        <v>188.54</v>
      </c>
      <c r="L80" s="10"/>
      <c r="M80" s="1" cm="1">
        <f t="array" ref="M80">[1]!s_val_pe_ttm(M$6,$A80)</f>
        <v>12.6433000564575</v>
      </c>
      <c r="N80" s="1" cm="1">
        <f t="array" ref="N80">[1]!s_val_pe_ttm(N$6,$A80)</f>
        <v>27.374099731445298</v>
      </c>
      <c r="O80" s="1" cm="1">
        <f t="array" ref="O80">[1]!s_val_pb_lf(O$6,$A80)</f>
        <v>1.1900000572204601</v>
      </c>
      <c r="P80" s="1" cm="1">
        <f t="array" ref="P80">[1]!s_val_pb_lf(P$6,$A80)</f>
        <v>4.9391999244689897</v>
      </c>
      <c r="Q80" s="1">
        <f>[1]!cb_anal_convpremiumratio($Q$6,A80-2)</f>
        <v>72.106836450381707</v>
      </c>
      <c r="S80" s="1">
        <f>[1]!cb_anal_straightbondpremiumratio($S$6,A80-3)</f>
        <v>0</v>
      </c>
      <c r="T80" s="9" cm="1">
        <f t="array" ref="T80">[1]!s_dq_close(T$6,$A80,1)</f>
        <v>15</v>
      </c>
      <c r="U80" s="9" cm="1">
        <f t="array" ref="U80">[1]!s_dq_close(U$6,$A80,1)</f>
        <v>7.0880999999999998</v>
      </c>
      <c r="V80" s="9" cm="1">
        <f t="array" ref="V80">[1]!s_dq_close(V$6,$A80,1)</f>
        <v>101.732</v>
      </c>
      <c r="W80" s="11" cm="1">
        <f t="array" ref="W80">[1]!s_dq_close(W$6,$A80,1)</f>
        <v>574.05999999999995</v>
      </c>
      <c r="X80" s="11" cm="1">
        <f t="array" ref="X80">[1]!s_dq_close(X$6,$A80,1)</f>
        <v>2536</v>
      </c>
      <c r="Y80" s="11" cm="1">
        <f t="array" ref="Y80">[1]!s_dq_close(Y$6,$A80,1)</f>
        <v>73.650000000000006</v>
      </c>
      <c r="Z80" s="11" cm="1">
        <f t="array" ref="Z80">[1]!s_dq_close(Z$6,$A80,1)</f>
        <v>77.05</v>
      </c>
      <c r="AA80" s="12" cm="1">
        <f t="array" ref="AA80">[1]!s_dq_oi(AA$6,$A80)</f>
        <v>1561979</v>
      </c>
      <c r="AB80" s="12" cm="1">
        <f t="array" ref="AB80">[1]!s_dq_close(AB$6,$A80,1)</f>
        <v>3027</v>
      </c>
      <c r="AC80" s="12" cm="1">
        <f t="array" ref="AC80">[1]!s_dq_close(AC$6,$A80,1)</f>
        <v>3050.86</v>
      </c>
      <c r="AD80" s="12" cm="1">
        <f t="array" ref="AD80">[1]!s_dq_close(AD$6,$A80,1)</f>
        <v>3222</v>
      </c>
      <c r="AE80" s="12" cm="1">
        <f t="array" ref="AE80">[1]!s_dq_close(AE$6,$A80,1)</f>
        <v>3339</v>
      </c>
      <c r="AF80" s="12" cm="1">
        <f t="array" ref="AF80">[1]!s_dq_close(AF$6,$A80,1)</f>
        <v>754</v>
      </c>
      <c r="AG80" s="12">
        <f>[1]!s_dq_close($AG$6,$A80)</f>
        <v>-2024</v>
      </c>
      <c r="AH80" s="11">
        <f>[1]!s_dq_close($AH$6,A80)</f>
        <v>7.0903999999999998</v>
      </c>
    </row>
    <row r="81" spans="1:34">
      <c r="A81" s="5">
        <v>45529</v>
      </c>
      <c r="B81" s="6">
        <v>2.1547000000000001</v>
      </c>
      <c r="C81" s="6">
        <v>2.2311999999999999</v>
      </c>
      <c r="D81" s="6">
        <v>2.0516999999999999</v>
      </c>
      <c r="E81" s="6">
        <v>3.81</v>
      </c>
      <c r="F81" s="6">
        <v>1.6940999999999999</v>
      </c>
      <c r="G81" s="6">
        <v>2.0222000000000002</v>
      </c>
      <c r="H81" s="6">
        <v>4.3600000000000003</v>
      </c>
      <c r="I81" s="6">
        <v>1.5760000000000001</v>
      </c>
      <c r="J81" s="10">
        <v>1.68</v>
      </c>
      <c r="K81" s="10">
        <v>199.34</v>
      </c>
      <c r="L81" s="10"/>
      <c r="M81" s="1" cm="1">
        <f t="array" ref="M81">[1]!s_val_pe_ttm(M$6,$A81)</f>
        <v>12.7323999404907</v>
      </c>
      <c r="N81" s="1" cm="1">
        <f t="array" ref="N81">[1]!s_val_pe_ttm(N$6,$A81)</f>
        <v>27.4841003417969</v>
      </c>
      <c r="O81" s="1" cm="1">
        <f t="array" ref="O81">[1]!s_val_pb_lf(O$6,$A81)</f>
        <v>1.20179998874664</v>
      </c>
      <c r="P81" s="1" cm="1">
        <f t="array" ref="P81">[1]!s_val_pb_lf(P$6,$A81)</f>
        <v>4.9348001480102504</v>
      </c>
      <c r="Q81" s="1">
        <f>[1]!cb_anal_convpremiumratio($Q$6,A81-2)</f>
        <v>72.848611047619102</v>
      </c>
      <c r="S81" s="1">
        <f>[1]!cb_anal_straightbondpremiumratio($S$6,A81-3)</f>
        <v>0</v>
      </c>
      <c r="T81" s="9" cm="1">
        <f t="array" ref="T81">[1]!s_dq_close(T$6,$A81,1)</f>
        <v>15.86</v>
      </c>
      <c r="U81" s="9" cm="1">
        <f t="array" ref="U81">[1]!s_dq_close(U$6,$A81,1)</f>
        <v>7.1368</v>
      </c>
      <c r="V81" s="9" cm="1">
        <f t="array" ref="V81">[1]!s_dq_close(V$6,$A81,1)</f>
        <v>100.6824</v>
      </c>
      <c r="W81" s="11" cm="1">
        <f t="array" ref="W81">[1]!s_dq_close(W$6,$A81,1)</f>
        <v>572.58000000000004</v>
      </c>
      <c r="X81" s="11" cm="1">
        <f t="array" ref="X81">[1]!s_dq_close(X$6,$A81,1)</f>
        <v>2548.6999999999998</v>
      </c>
      <c r="Y81" s="11" cm="1">
        <f t="array" ref="Y81">[1]!s_dq_close(Y$6,$A81,1)</f>
        <v>74.959999999999994</v>
      </c>
      <c r="Z81" s="11" cm="1">
        <f t="array" ref="Z81">[1]!s_dq_close(Z$6,$A81,1)</f>
        <v>78.22</v>
      </c>
      <c r="AA81" s="12" cm="1">
        <f t="array" ref="AA81">[1]!s_dq_oi(AA$6,$A81)</f>
        <v>1428021</v>
      </c>
      <c r="AB81" s="12" cm="1">
        <f t="array" ref="AB81">[1]!s_dq_close(AB$6,$A81,1)</f>
        <v>2929</v>
      </c>
      <c r="AC81" s="12" cm="1">
        <f t="array" ref="AC81">[1]!s_dq_close(AC$6,$A81,1)</f>
        <v>2961.71</v>
      </c>
      <c r="AD81" s="12" cm="1">
        <f t="array" ref="AD81">[1]!s_dq_close(AD$6,$A81,1)</f>
        <v>3154</v>
      </c>
      <c r="AE81" s="12" cm="1">
        <f t="array" ref="AE81">[1]!s_dq_close(AE$6,$A81,1)</f>
        <v>3219</v>
      </c>
      <c r="AF81" s="12" cm="1">
        <f t="array" ref="AF81">[1]!s_dq_close(AF$6,$A81,1)</f>
        <v>719.5</v>
      </c>
      <c r="AG81" s="12">
        <f>[1]!s_dq_close($AG$6,$A81)</f>
        <v>-2242</v>
      </c>
      <c r="AH81" s="11">
        <f>[1]!s_dq_close($AH$6,A81)</f>
        <v>7.1161000000000003</v>
      </c>
    </row>
    <row r="82" spans="1:34">
      <c r="A82" s="5">
        <v>45522</v>
      </c>
      <c r="B82" s="6">
        <v>2.1978</v>
      </c>
      <c r="C82" s="6">
        <v>2.2530000000000001</v>
      </c>
      <c r="D82" s="6">
        <v>2.0047000000000001</v>
      </c>
      <c r="E82" s="6">
        <v>3.89</v>
      </c>
      <c r="F82" s="6">
        <v>1.6850000000000001</v>
      </c>
      <c r="G82" s="6">
        <v>1.9696</v>
      </c>
      <c r="H82" s="6">
        <v>4.49</v>
      </c>
      <c r="I82" s="6">
        <v>1.6718999999999999</v>
      </c>
      <c r="J82" s="10">
        <v>1.81</v>
      </c>
      <c r="K82" s="10">
        <v>0</v>
      </c>
      <c r="L82" s="10"/>
      <c r="M82" s="1" cm="1">
        <f t="array" ref="M82">[1]!s_val_pe_ttm(M$6,$A82)</f>
        <v>12.8428001403809</v>
      </c>
      <c r="N82" s="1" cm="1">
        <f t="array" ref="N82">[1]!s_val_pe_ttm(N$6,$A82)</f>
        <v>27.0918998718262</v>
      </c>
      <c r="O82" s="1" cm="1">
        <f t="array" ref="O82">[1]!s_val_pb_lf(O$6,$A82)</f>
        <v>1.21070003509521</v>
      </c>
      <c r="P82" s="1" cm="1">
        <f t="array" ref="P82">[1]!s_val_pb_lf(P$6,$A82)</f>
        <v>4.8646998405456499</v>
      </c>
      <c r="Q82" s="1">
        <f>[1]!cb_anal_convpremiumratio($Q$6,A82-2)</f>
        <v>65.649588190476095</v>
      </c>
      <c r="S82" s="1">
        <f>[1]!cb_anal_straightbondpremiumratio($S$6,A82-3)</f>
        <v>0</v>
      </c>
      <c r="T82" s="9" cm="1">
        <f t="array" ref="T82">[1]!s_dq_close(T$6,$A82,1)</f>
        <v>14.8</v>
      </c>
      <c r="U82" s="9" cm="1">
        <f t="array" ref="U82">[1]!s_dq_close(U$6,$A82,1)</f>
        <v>7.1680000000000001</v>
      </c>
      <c r="V82" s="9" cm="1">
        <f t="array" ref="V82">[1]!s_dq_close(V$6,$A82,1)</f>
        <v>102.404</v>
      </c>
      <c r="W82" s="11" cm="1">
        <f t="array" ref="W82">[1]!s_dq_close(W$6,$A82,1)</f>
        <v>567.74</v>
      </c>
      <c r="X82" s="11" cm="1">
        <f t="array" ref="X82">[1]!s_dq_close(X$6,$A82,1)</f>
        <v>2546.1999999999998</v>
      </c>
      <c r="Y82" s="11" cm="1">
        <f t="array" ref="Y82">[1]!s_dq_close(Y$6,$A82,1)</f>
        <v>75.489999999999995</v>
      </c>
      <c r="Z82" s="11" cm="1">
        <f t="array" ref="Z82">[1]!s_dq_close(Z$6,$A82,1)</f>
        <v>79.58</v>
      </c>
      <c r="AA82" s="12" cm="1">
        <f t="array" ref="AA82">[1]!s_dq_oi(AA$6,$A82)</f>
        <v>1309294</v>
      </c>
      <c r="AB82" s="12" cm="1">
        <f t="array" ref="AB82">[1]!s_dq_close(AB$6,$A82,1)</f>
        <v>2936</v>
      </c>
      <c r="AC82" s="12" cm="1">
        <f t="array" ref="AC82">[1]!s_dq_close(AC$6,$A82,1)</f>
        <v>2954.29</v>
      </c>
      <c r="AD82" s="12" cm="1">
        <f t="array" ref="AD82">[1]!s_dq_close(AD$6,$A82,1)</f>
        <v>3078</v>
      </c>
      <c r="AE82" s="12" cm="1">
        <f t="array" ref="AE82">[1]!s_dq_close(AE$6,$A82,1)</f>
        <v>3161</v>
      </c>
      <c r="AF82" s="12" cm="1">
        <f t="array" ref="AF82">[1]!s_dq_close(AF$6,$A82,1)</f>
        <v>697</v>
      </c>
      <c r="AG82" s="12">
        <f>[1]!s_dq_close($AG$6,$A82)</f>
        <v>-2395</v>
      </c>
      <c r="AH82" s="11">
        <f>[1]!s_dq_close($AH$6,A82)</f>
        <v>7.1631</v>
      </c>
    </row>
    <row r="83" spans="1:34">
      <c r="A83" s="5">
        <v>45515</v>
      </c>
      <c r="B83" s="6">
        <v>2.1985999999999999</v>
      </c>
      <c r="C83" s="6">
        <v>2.2469000000000001</v>
      </c>
      <c r="D83" s="6">
        <v>1.9822</v>
      </c>
      <c r="E83" s="6">
        <v>3.94</v>
      </c>
      <c r="F83" s="6">
        <v>1.6523000000000001</v>
      </c>
      <c r="G83" s="6">
        <v>1.919</v>
      </c>
      <c r="H83" s="6">
        <v>4.5</v>
      </c>
      <c r="I83" s="6">
        <v>1.5739000000000001</v>
      </c>
      <c r="J83" s="10">
        <v>1.84</v>
      </c>
      <c r="K83" s="10">
        <v>200.34</v>
      </c>
      <c r="L83" s="10"/>
      <c r="M83" s="1" cm="1">
        <f t="array" ref="M83">[1]!s_val_pe_ttm(M$6,$A83)</f>
        <v>12.7199001312256</v>
      </c>
      <c r="N83" s="1" cm="1">
        <f t="array" ref="N83">[1]!s_val_pe_ttm(N$6,$A83)</f>
        <v>26.026300430297901</v>
      </c>
      <c r="O83" s="1" cm="1">
        <f t="array" ref="O83">[1]!s_val_pb_lf(O$6,$A83)</f>
        <v>1.1979999542236299</v>
      </c>
      <c r="P83" s="1" cm="1">
        <f t="array" ref="P83">[1]!s_val_pb_lf(P$6,$A83)</f>
        <v>4.6912999153137198</v>
      </c>
      <c r="Q83" s="1">
        <f>[1]!cb_anal_convpremiumratio($Q$6,A83-2)</f>
        <v>70.092888783269998</v>
      </c>
      <c r="S83" s="1">
        <f>[1]!cb_anal_straightbondpremiumratio($S$6,A83-3)</f>
        <v>0</v>
      </c>
      <c r="T83" s="9" cm="1">
        <f t="array" ref="T83">[1]!s_dq_close(T$6,$A83,1)</f>
        <v>20.37</v>
      </c>
      <c r="U83" s="9" cm="1">
        <f t="array" ref="U83">[1]!s_dq_close(U$6,$A83,1)</f>
        <v>7.1745999999999999</v>
      </c>
      <c r="V83" s="9" cm="1">
        <f t="array" ref="V83">[1]!s_dq_close(V$6,$A83,1)</f>
        <v>103.15179999999999</v>
      </c>
      <c r="W83" s="11" cm="1">
        <f t="array" ref="W83">[1]!s_dq_close(W$6,$A83,1)</f>
        <v>560.70000000000005</v>
      </c>
      <c r="X83" s="11" cm="1">
        <f t="array" ref="X83">[1]!s_dq_close(X$6,$A83,1)</f>
        <v>2470.6</v>
      </c>
      <c r="Y83" s="11" cm="1">
        <f t="array" ref="Y83">[1]!s_dq_close(Y$6,$A83,1)</f>
        <v>76.98</v>
      </c>
      <c r="Z83" s="11" cm="1">
        <f t="array" ref="Z83">[1]!s_dq_close(Z$6,$A83,1)</f>
        <v>79.459999999999994</v>
      </c>
      <c r="AA83" s="12" cm="1">
        <f t="array" ref="AA83">[1]!s_dq_oi(AA$6,$A83)</f>
        <v>844205</v>
      </c>
      <c r="AB83" s="12" cm="1">
        <f t="array" ref="AB83">[1]!s_dq_close(AB$6,$A83,1)</f>
        <v>2991</v>
      </c>
      <c r="AC83" s="12" cm="1">
        <f t="array" ref="AC83">[1]!s_dq_close(AC$6,$A83,1)</f>
        <v>2986.86</v>
      </c>
      <c r="AD83" s="12" cm="1">
        <f t="array" ref="AD83">[1]!s_dq_close(AD$6,$A83,1)</f>
        <v>3277</v>
      </c>
      <c r="AE83" s="12" cm="1">
        <f t="array" ref="AE83">[1]!s_dq_close(AE$6,$A83,1)</f>
        <v>3430</v>
      </c>
      <c r="AF83" s="12" cm="1">
        <f t="array" ref="AF83">[1]!s_dq_close(AF$6,$A83,1)</f>
        <v>741.5</v>
      </c>
      <c r="AG83" s="12">
        <f>[1]!s_dq_close($AG$6,$A83)</f>
        <v>-2430</v>
      </c>
      <c r="AH83" s="11">
        <f>[1]!s_dq_close($AH$6,A83)</f>
        <v>7.1746999999999996</v>
      </c>
    </row>
    <row r="84" spans="1:34">
      <c r="A84" s="5">
        <v>45508</v>
      </c>
      <c r="B84" s="6">
        <v>2.1276999999999999</v>
      </c>
      <c r="C84" s="6">
        <v>2.1934999999999998</v>
      </c>
      <c r="D84" s="6">
        <v>1.9648000000000001</v>
      </c>
      <c r="E84" s="6">
        <v>3.8</v>
      </c>
      <c r="F84" s="6">
        <v>1.6072</v>
      </c>
      <c r="G84" s="6">
        <v>1.9108000000000001</v>
      </c>
      <c r="H84" s="6">
        <v>4.33</v>
      </c>
      <c r="I84" s="6">
        <v>1.5282</v>
      </c>
      <c r="J84" s="10">
        <v>1.76</v>
      </c>
      <c r="K84" s="10">
        <v>197.35</v>
      </c>
      <c r="L84" s="10"/>
      <c r="M84" s="1" cm="1">
        <f t="array" ref="M84">[1]!s_val_pe_ttm(M$6,$A84)</f>
        <v>12.9373998641968</v>
      </c>
      <c r="N84" s="1" cm="1">
        <f t="array" ref="N84">[1]!s_val_pe_ttm(N$6,$A84)</f>
        <v>25.973699569702099</v>
      </c>
      <c r="O84" s="1" cm="1">
        <f t="array" ref="O84">[1]!s_val_pb_lf(O$6,$A84)</f>
        <v>1.2171000242233301</v>
      </c>
      <c r="P84" s="1" cm="1">
        <f t="array" ref="P84">[1]!s_val_pb_lf(P$6,$A84)</f>
        <v>4.7024998664856001</v>
      </c>
      <c r="Q84" s="1">
        <f>[1]!cb_anal_convpremiumratio($Q$6,A84-2)</f>
        <v>70.561642585551297</v>
      </c>
      <c r="S84" s="1">
        <f>[1]!cb_anal_straightbondpremiumratio($S$6,A84-3)</f>
        <v>0</v>
      </c>
      <c r="T84" s="9" cm="1">
        <f t="array" ref="T84">[1]!s_dq_close(T$6,$A84,1)</f>
        <v>23.39</v>
      </c>
      <c r="U84" s="9" cm="1">
        <f t="array" ref="U84">[1]!s_dq_close(U$6,$A84,1)</f>
        <v>7.2149999999999999</v>
      </c>
      <c r="V84" s="9" cm="1">
        <f t="array" ref="V84">[1]!s_dq_close(V$6,$A84,1)</f>
        <v>103.2295</v>
      </c>
      <c r="W84" s="11" cm="1">
        <f t="array" ref="W84">[1]!s_dq_close(W$6,$A84,1)</f>
        <v>574.04</v>
      </c>
      <c r="X84" s="11" cm="1">
        <f t="array" ref="X84">[1]!s_dq_close(X$6,$A84,1)</f>
        <v>2486.1</v>
      </c>
      <c r="Y84" s="11" cm="1">
        <f t="array" ref="Y84">[1]!s_dq_close(Y$6,$A84,1)</f>
        <v>74.14</v>
      </c>
      <c r="Z84" s="11" cm="1">
        <f t="array" ref="Z84">[1]!s_dq_close(Z$6,$A84,1)</f>
        <v>77.56</v>
      </c>
      <c r="AA84" s="12" cm="1">
        <f t="array" ref="AA84">[1]!s_dq_oi(AA$6,$A84)</f>
        <v>1171415</v>
      </c>
      <c r="AB84" s="12" cm="1">
        <f t="array" ref="AB84">[1]!s_dq_close(AB$6,$A84,1)</f>
        <v>3084</v>
      </c>
      <c r="AC84" s="12" cm="1">
        <f t="array" ref="AC84">[1]!s_dq_close(AC$6,$A84,1)</f>
        <v>3046.86</v>
      </c>
      <c r="AD84" s="12" cm="1">
        <f t="array" ref="AD84">[1]!s_dq_close(AD$6,$A84,1)</f>
        <v>3379</v>
      </c>
      <c r="AE84" s="12" cm="1">
        <f t="array" ref="AE84">[1]!s_dq_close(AE$6,$A84,1)</f>
        <v>3525</v>
      </c>
      <c r="AF84" s="12" cm="1">
        <f t="array" ref="AF84">[1]!s_dq_close(AF$6,$A84,1)</f>
        <v>779</v>
      </c>
      <c r="AG84" s="12">
        <f>[1]!s_dq_close($AG$6,$A84)</f>
        <v>-2757</v>
      </c>
      <c r="AH84" s="11">
        <f>[1]!s_dq_close($AH$6,A84)</f>
        <v>7.1657999999999999</v>
      </c>
    </row>
    <row r="85" spans="1:34">
      <c r="A85" s="5">
        <v>45501</v>
      </c>
      <c r="B85" s="6">
        <v>2.1943999999999999</v>
      </c>
      <c r="C85" s="6">
        <v>2.2504</v>
      </c>
      <c r="D85" s="6">
        <v>1.9968999999999999</v>
      </c>
      <c r="E85" s="6">
        <v>4.2</v>
      </c>
      <c r="F85" s="6">
        <v>1.6858</v>
      </c>
      <c r="G85" s="6">
        <v>1.9512</v>
      </c>
      <c r="H85" s="6">
        <v>4.79</v>
      </c>
      <c r="I85" s="6">
        <v>1.5296000000000001</v>
      </c>
      <c r="J85" s="10">
        <v>1.93</v>
      </c>
      <c r="K85" s="10">
        <v>0</v>
      </c>
      <c r="L85" s="10"/>
      <c r="M85" s="1" cm="1">
        <f t="array" ref="M85">[1]!s_val_pe_ttm(M$6,$A85)</f>
        <v>12.8740997314453</v>
      </c>
      <c r="N85" s="1" cm="1">
        <f t="array" ref="N85">[1]!s_val_pe_ttm(N$6,$A85)</f>
        <v>26.765600204467798</v>
      </c>
      <c r="O85" s="1" cm="1">
        <f t="array" ref="O85">[1]!s_val_pb_lf(O$6,$A85)</f>
        <v>1.2115999460220299</v>
      </c>
      <c r="P85" s="1" cm="1">
        <f t="array" ref="P85">[1]!s_val_pb_lf(P$6,$A85)</f>
        <v>4.8575000762939498</v>
      </c>
      <c r="Q85" s="1">
        <f>[1]!cb_anal_convpremiumratio($Q$6,A85-2)</f>
        <v>73.345810536398602</v>
      </c>
      <c r="S85" s="1">
        <f>[1]!cb_anal_straightbondpremiumratio($S$6,A85-3)</f>
        <v>0</v>
      </c>
      <c r="T85" s="9" cm="1">
        <f t="array" ref="T85">[1]!s_dq_close(T$6,$A85,1)</f>
        <v>16.39</v>
      </c>
      <c r="U85" s="9" cm="1">
        <f t="array" ref="U85">[1]!s_dq_close(U$6,$A85,1)</f>
        <v>7.2535999999999996</v>
      </c>
      <c r="V85" s="9" cm="1">
        <f t="array" ref="V85">[1]!s_dq_close(V$6,$A85,1)</f>
        <v>104.3233</v>
      </c>
      <c r="W85" s="11" cm="1">
        <f t="array" ref="W85">[1]!s_dq_close(W$6,$A85,1)</f>
        <v>557.38</v>
      </c>
      <c r="X85" s="11" cm="1">
        <f t="array" ref="X85">[1]!s_dq_close(X$6,$A85,1)</f>
        <v>2385.6999999999998</v>
      </c>
      <c r="Y85" s="11" cm="1">
        <f t="array" ref="Y85">[1]!s_dq_close(Y$6,$A85,1)</f>
        <v>76.44</v>
      </c>
      <c r="Z85" s="11" cm="1">
        <f t="array" ref="Z85">[1]!s_dq_close(Z$6,$A85,1)</f>
        <v>79.849999999999994</v>
      </c>
      <c r="AA85" s="12" cm="1">
        <f t="array" ref="AA85">[1]!s_dq_oi(AA$6,$A85)</f>
        <v>1368353</v>
      </c>
      <c r="AB85" s="12" cm="1">
        <f t="array" ref="AB85">[1]!s_dq_close(AB$6,$A85,1)</f>
        <v>3161</v>
      </c>
      <c r="AC85" s="12" cm="1">
        <f t="array" ref="AC85">[1]!s_dq_close(AC$6,$A85,1)</f>
        <v>3123.43</v>
      </c>
      <c r="AD85" s="12" cm="1">
        <f t="array" ref="AD85">[1]!s_dq_close(AD$6,$A85,1)</f>
        <v>3371</v>
      </c>
      <c r="AE85" s="12" cm="1">
        <f t="array" ref="AE85">[1]!s_dq_close(AE$6,$A85,1)</f>
        <v>3557</v>
      </c>
      <c r="AF85" s="12" cm="1">
        <f t="array" ref="AF85">[1]!s_dq_close(AF$6,$A85,1)</f>
        <v>779</v>
      </c>
      <c r="AG85" s="12">
        <f>[1]!s_dq_close($AG$6,$A85)</f>
        <v>-2910</v>
      </c>
      <c r="AH85" s="11">
        <f>[1]!s_dq_close($AH$6,A85)</f>
        <v>7.2633000000000001</v>
      </c>
    </row>
    <row r="86" spans="1:34">
      <c r="A86" s="5">
        <v>45494</v>
      </c>
      <c r="B86" s="6">
        <v>2.2614000000000001</v>
      </c>
      <c r="C86" s="6">
        <v>2.3323</v>
      </c>
      <c r="D86" s="6">
        <v>2.056</v>
      </c>
      <c r="E86" s="6">
        <v>4.25</v>
      </c>
      <c r="F86" s="6">
        <v>1.7363999999999999</v>
      </c>
      <c r="G86" s="6">
        <v>1.9917</v>
      </c>
      <c r="H86" s="6">
        <v>4.87</v>
      </c>
      <c r="I86" s="6">
        <v>1.6081000000000001</v>
      </c>
      <c r="J86" s="10">
        <v>1.93</v>
      </c>
      <c r="K86" s="10">
        <v>214.84</v>
      </c>
      <c r="L86" s="10"/>
      <c r="M86" s="1" cm="1">
        <f t="array" ref="M86">[1]!s_val_pe_ttm(M$6,$A86)</f>
        <v>13.3128004074097</v>
      </c>
      <c r="N86" s="1" cm="1">
        <f t="array" ref="N86">[1]!s_val_pe_ttm(N$6,$A86)</f>
        <v>27.374700546264599</v>
      </c>
      <c r="O86" s="1" cm="1">
        <f t="array" ref="O86">[1]!s_val_pb_lf(O$6,$A86)</f>
        <v>1.2503000497818</v>
      </c>
      <c r="P86" s="1" cm="1">
        <f t="array" ref="P86">[1]!s_val_pb_lf(P$6,$A86)</f>
        <v>4.9321999549865696</v>
      </c>
      <c r="Q86" s="1">
        <f>[1]!cb_anal_convpremiumratio($Q$6,A86-2)</f>
        <v>75.208061641221306</v>
      </c>
      <c r="S86" s="1">
        <f>[1]!cb_anal_straightbondpremiumratio($S$6,A86-3)</f>
        <v>0</v>
      </c>
      <c r="T86" s="9" cm="1">
        <f t="array" ref="T86">[1]!s_dq_close(T$6,$A86,1)</f>
        <v>16.52</v>
      </c>
      <c r="U86" s="9" cm="1">
        <f t="array" ref="U86">[1]!s_dq_close(U$6,$A86,1)</f>
        <v>7.2671999999999999</v>
      </c>
      <c r="V86" s="9" cm="1">
        <f t="array" ref="V86">[1]!s_dq_close(V$6,$A86,1)</f>
        <v>104.36539999999999</v>
      </c>
      <c r="W86" s="11" cm="1">
        <f t="array" ref="W86">[1]!s_dq_close(W$6,$A86,1)</f>
        <v>565.94000000000005</v>
      </c>
      <c r="X86" s="11" cm="1">
        <f t="array" ref="X86">[1]!s_dq_close(X$6,$A86,1)</f>
        <v>2402.8000000000002</v>
      </c>
      <c r="Y86" s="11" cm="1">
        <f t="array" ref="Y86">[1]!s_dq_close(Y$6,$A86,1)</f>
        <v>78.599999999999994</v>
      </c>
      <c r="Z86" s="11" cm="1">
        <f t="array" ref="Z86">[1]!s_dq_close(Z$6,$A86,1)</f>
        <v>82.56</v>
      </c>
      <c r="AA86" s="12" cm="1">
        <f t="array" ref="AA86">[1]!s_dq_oi(AA$6,$A86)</f>
        <v>1433492</v>
      </c>
      <c r="AB86" s="12" cm="1">
        <f t="array" ref="AB86">[1]!s_dq_close(AB$6,$A86,1)</f>
        <v>3148</v>
      </c>
      <c r="AC86" s="12" cm="1">
        <f t="array" ref="AC86">[1]!s_dq_close(AC$6,$A86,1)</f>
        <v>3104.29</v>
      </c>
      <c r="AD86" s="12" cm="1">
        <f t="array" ref="AD86">[1]!s_dq_close(AD$6,$A86,1)</f>
        <v>3479</v>
      </c>
      <c r="AE86" s="12" cm="1">
        <f t="array" ref="AE86">[1]!s_dq_close(AE$6,$A86,1)</f>
        <v>3665</v>
      </c>
      <c r="AF86" s="12" cm="1">
        <f t="array" ref="AF86">[1]!s_dq_close(AF$6,$A86,1)</f>
        <v>804.5</v>
      </c>
      <c r="AG86" s="12">
        <f>[1]!s_dq_close($AG$6,$A86)</f>
        <v>-2890</v>
      </c>
      <c r="AH86" s="11">
        <f>[1]!s_dq_close($AH$6,A86)</f>
        <v>7.2857000000000003</v>
      </c>
    </row>
    <row r="87" spans="1:34">
      <c r="A87" s="5">
        <v>45487</v>
      </c>
      <c r="B87" s="6">
        <v>2.2604000000000002</v>
      </c>
      <c r="C87" s="6">
        <v>2.3330000000000002</v>
      </c>
      <c r="D87" s="6">
        <v>2.0783</v>
      </c>
      <c r="E87" s="6">
        <v>4.18</v>
      </c>
      <c r="F87" s="6">
        <v>1.7172000000000001</v>
      </c>
      <c r="G87" s="6">
        <v>1.9928999999999999</v>
      </c>
      <c r="H87" s="6">
        <v>4.87</v>
      </c>
      <c r="I87" s="6">
        <v>1.6224000000000001</v>
      </c>
      <c r="J87" s="10">
        <v>1.94</v>
      </c>
      <c r="K87" s="10">
        <v>215.17</v>
      </c>
      <c r="L87" s="10"/>
      <c r="M87" s="1" cm="1">
        <f t="array" ref="M87">[1]!s_val_pe_ttm(M$6,$A87)</f>
        <v>13.244000434875501</v>
      </c>
      <c r="N87" s="1" cm="1">
        <f t="array" ref="N87">[1]!s_val_pe_ttm(N$6,$A87)</f>
        <v>27.986400604248001</v>
      </c>
      <c r="O87" s="1" cm="1">
        <f t="array" ref="O87">[1]!s_val_pb_lf(O$6,$A87)</f>
        <v>1.2355999946594201</v>
      </c>
      <c r="P87" s="1" cm="1">
        <f t="array" ref="P87">[1]!s_val_pb_lf(P$6,$A87)</f>
        <v>5.0384998321533203</v>
      </c>
      <c r="Q87" s="1">
        <f>[1]!cb_anal_convpremiumratio($Q$6,A87-2)</f>
        <v>74.593314258555296</v>
      </c>
      <c r="S87" s="1">
        <f>[1]!cb_anal_straightbondpremiumratio($S$6,A87-3)</f>
        <v>0</v>
      </c>
      <c r="T87" s="9" cm="1">
        <f t="array" ref="T87">[1]!s_dq_close(T$6,$A87,1)</f>
        <v>12.46</v>
      </c>
      <c r="U87" s="9" cm="1">
        <f t="array" ref="U87">[1]!s_dq_close(U$6,$A87,1)</f>
        <v>7.2584999999999997</v>
      </c>
      <c r="V87" s="9" cm="1">
        <f t="array" ref="V87">[1]!s_dq_close(V$6,$A87,1)</f>
        <v>104.0997</v>
      </c>
      <c r="W87" s="11" cm="1">
        <f t="array" ref="W87">[1]!s_dq_close(W$6,$A87,1)</f>
        <v>568.54</v>
      </c>
      <c r="X87" s="11" cm="1">
        <f t="array" ref="X87">[1]!s_dq_close(X$6,$A87,1)</f>
        <v>2416</v>
      </c>
      <c r="Y87" s="11" cm="1">
        <f t="array" ref="Y87">[1]!s_dq_close(Y$6,$A87,1)</f>
        <v>82.18</v>
      </c>
      <c r="Z87" s="11" cm="1">
        <f t="array" ref="Z87">[1]!s_dq_close(Z$6,$A87,1)</f>
        <v>85.27</v>
      </c>
      <c r="AA87" s="12" cm="1">
        <f t="array" ref="AA87">[1]!s_dq_oi(AA$6,$A87)</f>
        <v>1568910</v>
      </c>
      <c r="AB87" s="12" cm="1">
        <f t="array" ref="AB87">[1]!s_dq_close(AB$6,$A87,1)</f>
        <v>3166</v>
      </c>
      <c r="AC87" s="12" cm="1">
        <f t="array" ref="AC87">[1]!s_dq_close(AC$6,$A87,1)</f>
        <v>3162.86</v>
      </c>
      <c r="AD87" s="12" cm="1">
        <f t="array" ref="AD87">[1]!s_dq_close(AD$6,$A87,1)</f>
        <v>3523</v>
      </c>
      <c r="AE87" s="12" cm="1">
        <f t="array" ref="AE87">[1]!s_dq_close(AE$6,$A87,1)</f>
        <v>3709</v>
      </c>
      <c r="AF87" s="12" cm="1">
        <f t="array" ref="AF87">[1]!s_dq_close(AF$6,$A87,1)</f>
        <v>827</v>
      </c>
      <c r="AG87" s="12">
        <f>[1]!s_dq_close($AG$6,$A87)</f>
        <v>-2892.87</v>
      </c>
      <c r="AH87" s="11">
        <f>[1]!s_dq_close($AH$6,A87)</f>
        <v>7.2723000000000004</v>
      </c>
    </row>
    <row r="88" spans="1:34">
      <c r="A88" s="5">
        <v>45480</v>
      </c>
      <c r="B88" s="6">
        <v>2.2753999999999999</v>
      </c>
      <c r="C88" s="6">
        <v>2.3559999999999999</v>
      </c>
      <c r="D88" s="6">
        <v>2.0777000000000001</v>
      </c>
      <c r="E88" s="6">
        <v>4.28</v>
      </c>
      <c r="F88" s="6">
        <v>1.7095</v>
      </c>
      <c r="G88" s="6">
        <v>1.9918</v>
      </c>
      <c r="H88" s="6">
        <v>4.9800000000000004</v>
      </c>
      <c r="I88" s="6">
        <v>1.6478999999999999</v>
      </c>
      <c r="J88" s="10">
        <v>2</v>
      </c>
      <c r="K88" s="10">
        <v>0</v>
      </c>
      <c r="L88" s="10"/>
      <c r="M88" s="1" cm="1">
        <f t="array" ref="M88">[1]!s_val_pe_ttm(M$6,$A88)</f>
        <v>13.166600227356</v>
      </c>
      <c r="N88" s="1" cm="1">
        <f t="array" ref="N88">[1]!s_val_pe_ttm(N$6,$A88)</f>
        <v>27.878599166870099</v>
      </c>
      <c r="O88" s="1" cm="1">
        <f t="array" ref="O88">[1]!s_val_pb_lf(O$6,$A88)</f>
        <v>1.21860003471375</v>
      </c>
      <c r="P88" s="1" cm="1">
        <f t="array" ref="P88">[1]!s_val_pb_lf(P$6,$A88)</f>
        <v>5.00820016860962</v>
      </c>
      <c r="Q88" s="1">
        <f>[1]!cb_anal_convpremiumratio($Q$6,A88-2)</f>
        <v>77.518638140417593</v>
      </c>
      <c r="S88" s="1">
        <f>[1]!cb_anal_straightbondpremiumratio($S$6,A88-3)</f>
        <v>0</v>
      </c>
      <c r="T88" s="9" cm="1">
        <f t="array" ref="T88">[1]!s_dq_close(T$6,$A88,1)</f>
        <v>12.48</v>
      </c>
      <c r="U88" s="9" cm="1">
        <f t="array" ref="U88">[1]!s_dq_close(U$6,$A88,1)</f>
        <v>7.2674000000000003</v>
      </c>
      <c r="V88" s="9" cm="1">
        <f t="array" ref="V88">[1]!s_dq_close(V$6,$A88,1)</f>
        <v>104.8689</v>
      </c>
      <c r="W88" s="11" cm="1">
        <f t="array" ref="W88">[1]!s_dq_close(W$6,$A88,1)</f>
        <v>559.66</v>
      </c>
      <c r="X88" s="11" cm="1">
        <f t="array" ref="X88">[1]!s_dq_close(X$6,$A88,1)</f>
        <v>2399.8000000000002</v>
      </c>
      <c r="Y88" s="11" cm="1">
        <f t="array" ref="Y88">[1]!s_dq_close(Y$6,$A88,1)</f>
        <v>83.44</v>
      </c>
      <c r="Z88" s="11" cm="1">
        <f t="array" ref="Z88">[1]!s_dq_close(Z$6,$A88,1)</f>
        <v>86.86</v>
      </c>
      <c r="AA88" s="12" cm="1">
        <f t="array" ref="AA88">[1]!s_dq_oi(AA$6,$A88)</f>
        <v>1742879</v>
      </c>
      <c r="AB88" s="12" cm="1">
        <f t="array" ref="AB88">[1]!s_dq_close(AB$6,$A88,1)</f>
        <v>3338</v>
      </c>
      <c r="AC88" s="12" cm="1">
        <f t="array" ref="AC88">[1]!s_dq_close(AC$6,$A88,1)</f>
        <v>3288</v>
      </c>
      <c r="AD88" s="12" cm="1">
        <f t="array" ref="AD88">[1]!s_dq_close(AD$6,$A88,1)</f>
        <v>3553</v>
      </c>
      <c r="AE88" s="12" cm="1">
        <f t="array" ref="AE88">[1]!s_dq_close(AE$6,$A88,1)</f>
        <v>3759</v>
      </c>
      <c r="AF88" s="12" cm="1">
        <f t="array" ref="AF88">[1]!s_dq_close(AF$6,$A88,1)</f>
        <v>845.5</v>
      </c>
      <c r="AG88" s="12">
        <f>[1]!s_dq_close($AG$6,$A88)</f>
        <v>-2928</v>
      </c>
      <c r="AH88" s="11">
        <f>[1]!s_dq_close($AH$6,A88)</f>
        <v>7.2893999999999997</v>
      </c>
    </row>
    <row r="89" spans="1:34">
      <c r="A89" s="5">
        <v>45473</v>
      </c>
      <c r="B89" s="6">
        <v>2.2058</v>
      </c>
      <c r="C89" s="6">
        <v>2.2926000000000002</v>
      </c>
      <c r="D89" s="6">
        <v>2.0697000000000001</v>
      </c>
      <c r="E89" s="6">
        <v>4.3600000000000003</v>
      </c>
      <c r="F89" s="6">
        <v>1.6938</v>
      </c>
      <c r="G89" s="6">
        <v>2.0154000000000001</v>
      </c>
      <c r="H89" s="6">
        <v>5.09</v>
      </c>
      <c r="I89" s="6">
        <v>1.6335</v>
      </c>
      <c r="J89" s="10">
        <v>2.08</v>
      </c>
      <c r="K89" s="10">
        <v>216.76</v>
      </c>
      <c r="L89" s="10"/>
      <c r="M89" s="1" cm="1">
        <f t="array" ref="M89">[1]!s_val_pe_ttm(M$6,$A89)</f>
        <v>13.1967000961304</v>
      </c>
      <c r="N89" s="1" cm="1">
        <f t="array" ref="N89">[1]!s_val_pe_ttm(N$6,$A89)</f>
        <v>27.299699783325199</v>
      </c>
      <c r="O89" s="1" cm="1">
        <f t="array" ref="O89">[1]!s_val_pb_lf(O$6,$A89)</f>
        <v>1.2208000421523999</v>
      </c>
      <c r="P89" s="1" cm="1">
        <f t="array" ref="P89">[1]!s_val_pb_lf(P$6,$A89)</f>
        <v>4.9025998115539604</v>
      </c>
      <c r="Q89" s="1">
        <f>[1]!cb_anal_convpremiumratio($Q$6,A89-2)</f>
        <v>74.497183522727298</v>
      </c>
      <c r="S89" s="1">
        <f>[1]!cb_anal_straightbondpremiumratio($S$6,A89-3)</f>
        <v>0</v>
      </c>
      <c r="T89" s="9" cm="1">
        <f t="array" ref="T89">[1]!s_dq_close(T$6,$A89,1)</f>
        <v>12.44</v>
      </c>
      <c r="U89" s="9" cm="1">
        <f t="array" ref="U89">[1]!s_dq_close(U$6,$A89,1)</f>
        <v>7.2659000000000002</v>
      </c>
      <c r="V89" s="9" cm="1">
        <f t="array" ref="V89">[1]!s_dq_close(V$6,$A89,1)</f>
        <v>105.84269999999999</v>
      </c>
      <c r="W89" s="11" cm="1">
        <f t="array" ref="W89">[1]!s_dq_close(W$6,$A89,1)</f>
        <v>551.52</v>
      </c>
      <c r="X89" s="11" cm="1">
        <f t="array" ref="X89">[1]!s_dq_close(X$6,$A89,1)</f>
        <v>2336.9</v>
      </c>
      <c r="Y89" s="11" cm="1">
        <f t="array" ref="Y89">[1]!s_dq_close(Y$6,$A89,1)</f>
        <v>81.459999999999994</v>
      </c>
      <c r="Z89" s="11" cm="1">
        <f t="array" ref="Z89">[1]!s_dq_close(Z$6,$A89,1)</f>
        <v>84.84</v>
      </c>
      <c r="AA89" s="12" cm="1">
        <f t="array" ref="AA89">[1]!s_dq_oi(AA$6,$A89)</f>
        <v>1780999</v>
      </c>
      <c r="AB89" s="12" cm="1">
        <f t="array" ref="AB89">[1]!s_dq_close(AB$6,$A89,1)</f>
        <v>3374</v>
      </c>
      <c r="AC89" s="12" cm="1">
        <f t="array" ref="AC89">[1]!s_dq_close(AC$6,$A89,1)</f>
        <v>3301.14</v>
      </c>
      <c r="AD89" s="12" cm="1">
        <f t="array" ref="AD89">[1]!s_dq_close(AD$6,$A89,1)</f>
        <v>3544</v>
      </c>
      <c r="AE89" s="12" cm="1">
        <f t="array" ref="AE89">[1]!s_dq_close(AE$6,$A89,1)</f>
        <v>3745</v>
      </c>
      <c r="AF89" s="12" cm="1">
        <f t="array" ref="AF89">[1]!s_dq_close(AF$6,$A89,1)</f>
        <v>825</v>
      </c>
      <c r="AG89" s="12">
        <f>[1]!s_dq_close($AG$6,$A89)</f>
        <v>-2952</v>
      </c>
      <c r="AH89" s="11">
        <f>[1]!s_dq_close($AH$6,A89)</f>
        <v>7.2995999999999999</v>
      </c>
    </row>
    <row r="90" spans="1:34">
      <c r="A90" s="5">
        <v>45466</v>
      </c>
      <c r="B90" s="6">
        <v>2.2570999999999999</v>
      </c>
      <c r="C90" s="6">
        <v>2.3431000000000002</v>
      </c>
      <c r="D90" s="6">
        <v>2.0956000000000001</v>
      </c>
      <c r="E90" s="6">
        <v>4.25</v>
      </c>
      <c r="F90" s="6">
        <v>1.7774000000000001</v>
      </c>
      <c r="G90" s="6">
        <v>2.0247999999999999</v>
      </c>
      <c r="H90" s="6">
        <v>5.0999999999999996</v>
      </c>
      <c r="I90" s="6">
        <v>1.6917</v>
      </c>
      <c r="J90" s="10">
        <v>2.02</v>
      </c>
      <c r="K90" s="10">
        <v>218.51</v>
      </c>
      <c r="L90" s="10"/>
      <c r="M90" s="1" cm="1">
        <f t="array" ref="M90">[1]!s_val_pe_ttm(M$6,$A90)</f>
        <v>13.254199981689499</v>
      </c>
      <c r="N90" s="1" cm="1">
        <f t="array" ref="N90">[1]!s_val_pe_ttm(N$6,$A90)</f>
        <v>27.339899063110401</v>
      </c>
      <c r="O90" s="1" cm="1">
        <f t="array" ref="O90">[1]!s_val_pb_lf(O$6,$A90)</f>
        <v>1.2224999666214</v>
      </c>
      <c r="P90" s="1" cm="1">
        <f t="array" ref="P90">[1]!s_val_pb_lf(P$6,$A90)</f>
        <v>4.9029002189636204</v>
      </c>
      <c r="Q90" s="1">
        <f>[1]!cb_anal_convpremiumratio($Q$6,A90-2)</f>
        <v>69.651021428571397</v>
      </c>
      <c r="S90" s="1">
        <f>[1]!cb_anal_straightbondpremiumratio($S$6,A90-3)</f>
        <v>0</v>
      </c>
      <c r="T90" s="9" cm="1">
        <f t="array" ref="T90">[1]!s_dq_close(T$6,$A90,1)</f>
        <v>13.2</v>
      </c>
      <c r="U90" s="9" cm="1">
        <f t="array" ref="U90">[1]!s_dq_close(U$6,$A90,1)</f>
        <v>7.2613000000000003</v>
      </c>
      <c r="V90" s="9" cm="1">
        <f t="array" ref="V90">[1]!s_dq_close(V$6,$A90,1)</f>
        <v>105.82510000000001</v>
      </c>
      <c r="W90" s="11" cm="1">
        <f t="array" ref="W90">[1]!s_dq_close(W$6,$A90,1)</f>
        <v>559.74</v>
      </c>
      <c r="X90" s="11" cm="1">
        <f t="array" ref="X90">[1]!s_dq_close(X$6,$A90,1)</f>
        <v>2334.6999999999998</v>
      </c>
      <c r="Y90" s="11" cm="1">
        <f t="array" ref="Y90">[1]!s_dq_close(Y$6,$A90,1)</f>
        <v>80.59</v>
      </c>
      <c r="Z90" s="11" cm="1">
        <f t="array" ref="Z90">[1]!s_dq_close(Z$6,$A90,1)</f>
        <v>84.18</v>
      </c>
      <c r="AA90" s="12" cm="1">
        <f t="array" ref="AA90">[1]!s_dq_oi(AA$6,$A90)</f>
        <v>1782029</v>
      </c>
      <c r="AB90" s="12" cm="1">
        <f t="array" ref="AB90">[1]!s_dq_close(AB$6,$A90,1)</f>
        <v>3334</v>
      </c>
      <c r="AC90" s="12" cm="1">
        <f t="array" ref="AC90">[1]!s_dq_close(AC$6,$A90,1)</f>
        <v>3280.86</v>
      </c>
      <c r="AD90" s="12" cm="1">
        <f t="array" ref="AD90">[1]!s_dq_close(AD$6,$A90,1)</f>
        <v>3563</v>
      </c>
      <c r="AE90" s="12" cm="1">
        <f t="array" ref="AE90">[1]!s_dq_close(AE$6,$A90,1)</f>
        <v>3753</v>
      </c>
      <c r="AF90" s="12" cm="1">
        <f t="array" ref="AF90">[1]!s_dq_close(AF$6,$A90,1)</f>
        <v>811.5</v>
      </c>
      <c r="AG90" s="12">
        <f>[1]!s_dq_close($AG$6,$A90)</f>
        <v>-2933</v>
      </c>
      <c r="AH90" s="11">
        <f>[1]!s_dq_close($AH$6,A90)</f>
        <v>7.2904999999999998</v>
      </c>
    </row>
    <row r="91" spans="1:34">
      <c r="A91" s="5">
        <v>45459</v>
      </c>
      <c r="B91" s="6">
        <v>2.2557999999999998</v>
      </c>
      <c r="C91" s="6">
        <v>2.3325999999999998</v>
      </c>
      <c r="D91" s="6">
        <v>2.0954999999999999</v>
      </c>
      <c r="E91" s="6">
        <v>4.2</v>
      </c>
      <c r="F91" s="6">
        <v>1.7988999999999999</v>
      </c>
      <c r="G91" s="6">
        <v>2.0223</v>
      </c>
      <c r="H91" s="6">
        <v>5.07</v>
      </c>
      <c r="I91" s="6">
        <v>1.7762</v>
      </c>
      <c r="J91" s="10">
        <v>2.0299999999999998</v>
      </c>
      <c r="K91" s="10">
        <v>224.83</v>
      </c>
      <c r="L91" s="10"/>
      <c r="M91" s="1" cm="1">
        <f t="array" ref="M91">[1]!s_val_pe_ttm(M$6,$A91)</f>
        <v>13.380800247192401</v>
      </c>
      <c r="N91" s="1" cm="1">
        <f t="array" ref="N91">[1]!s_val_pe_ttm(N$6,$A91)</f>
        <v>27.158199310302699</v>
      </c>
      <c r="O91" s="1" cm="1">
        <f t="array" ref="O91">[1]!s_val_pb_lf(O$6,$A91)</f>
        <v>1.22790002822876</v>
      </c>
      <c r="P91" s="1" cm="1">
        <f t="array" ref="P91">[1]!s_val_pb_lf(P$6,$A91)</f>
        <v>4.87139987945557</v>
      </c>
      <c r="Q91" s="1">
        <f>[1]!cb_anal_convpremiumratio($Q$6,A91-2)</f>
        <v>70.632364352720401</v>
      </c>
      <c r="S91" s="1">
        <f>[1]!cb_anal_straightbondpremiumratio($S$6,A91-3)</f>
        <v>0</v>
      </c>
      <c r="T91" s="9" cm="1">
        <f t="array" ref="T91">[1]!s_dq_close(T$6,$A91,1)</f>
        <v>12.66</v>
      </c>
      <c r="U91" s="9" cm="1">
        <f t="array" ref="U91">[1]!s_dq_close(U$6,$A91,1)</f>
        <v>7.2557</v>
      </c>
      <c r="V91" s="9" cm="1">
        <f t="array" ref="V91">[1]!s_dq_close(V$6,$A91,1)</f>
        <v>105.52670000000001</v>
      </c>
      <c r="W91" s="11" cm="1">
        <f t="array" ref="W91">[1]!s_dq_close(W$6,$A91,1)</f>
        <v>548.48</v>
      </c>
      <c r="X91" s="11" cm="1">
        <f t="array" ref="X91">[1]!s_dq_close(X$6,$A91,1)</f>
        <v>2348.4</v>
      </c>
      <c r="Y91" s="11" cm="1">
        <f t="array" ref="Y91">[1]!s_dq_close(Y$6,$A91,1)</f>
        <v>78.069999999999993</v>
      </c>
      <c r="Z91" s="11" cm="1">
        <f t="array" ref="Z91">[1]!s_dq_close(Z$6,$A91,1)</f>
        <v>82.67</v>
      </c>
      <c r="AA91" s="12" cm="1">
        <f t="array" ref="AA91">[1]!s_dq_oi(AA$6,$A91)</f>
        <v>1969692</v>
      </c>
      <c r="AB91" s="12" cm="1">
        <f t="array" ref="AB91">[1]!s_dq_close(AB$6,$A91,1)</f>
        <v>3457</v>
      </c>
      <c r="AC91" s="12" cm="1">
        <f t="array" ref="AC91">[1]!s_dq_close(AC$6,$A91,1)</f>
        <v>3384.57</v>
      </c>
      <c r="AD91" s="12" cm="1">
        <f t="array" ref="AD91">[1]!s_dq_close(AD$6,$A91,1)</f>
        <v>3637</v>
      </c>
      <c r="AE91" s="12" cm="1">
        <f t="array" ref="AE91">[1]!s_dq_close(AE$6,$A91,1)</f>
        <v>3806</v>
      </c>
      <c r="AF91" s="12" cm="1">
        <f t="array" ref="AF91">[1]!s_dq_close(AF$6,$A91,1)</f>
        <v>827.5</v>
      </c>
      <c r="AG91" s="12">
        <f>[1]!s_dq_close($AG$6,$A91)</f>
        <v>-2908</v>
      </c>
      <c r="AH91" s="11">
        <f>[1]!s_dq_close($AH$6,A91)</f>
        <v>7.2709999999999999</v>
      </c>
    </row>
    <row r="92" spans="1:34">
      <c r="A92" s="5">
        <v>45452</v>
      </c>
      <c r="B92" s="6">
        <v>2.2833000000000001</v>
      </c>
      <c r="C92" s="6">
        <v>2.3691</v>
      </c>
      <c r="D92" s="6">
        <v>2.1131000000000002</v>
      </c>
      <c r="E92" s="6">
        <v>4.43</v>
      </c>
      <c r="F92" s="6">
        <v>1.772</v>
      </c>
      <c r="G92" s="6">
        <v>2.0405000000000002</v>
      </c>
      <c r="H92" s="6">
        <v>5.17</v>
      </c>
      <c r="I92" s="6">
        <v>1.7634000000000001</v>
      </c>
      <c r="J92" s="10">
        <v>2.13</v>
      </c>
      <c r="K92" s="10">
        <v>0</v>
      </c>
      <c r="L92" s="10"/>
      <c r="M92" s="1" cm="1">
        <f t="array" ref="M92">[1]!s_val_pe_ttm(M$6,$A92)</f>
        <v>13.4596004486084</v>
      </c>
      <c r="N92" s="1" cm="1">
        <f t="array" ref="N92">[1]!s_val_pe_ttm(N$6,$A92)</f>
        <v>26.714899063110401</v>
      </c>
      <c r="O92" s="1" cm="1">
        <f t="array" ref="O92">[1]!s_val_pb_lf(O$6,$A92)</f>
        <v>1.23280000686646</v>
      </c>
      <c r="P92" s="1" cm="1">
        <f t="array" ref="P92">[1]!s_val_pb_lf(P$6,$A92)</f>
        <v>4.7962999343872097</v>
      </c>
      <c r="Q92" s="1">
        <f>[1]!cb_anal_convpremiumratio($Q$6,A92-2)</f>
        <v>73.046946904315206</v>
      </c>
      <c r="S92" s="1">
        <f>[1]!cb_anal_straightbondpremiumratio($S$6,A92-3)</f>
        <v>0</v>
      </c>
      <c r="T92" s="9" cm="1">
        <f t="array" ref="T92">[1]!s_dq_close(T$6,$A92,1)</f>
        <v>12.22</v>
      </c>
      <c r="U92" s="9" cm="1">
        <f t="array" ref="U92">[1]!s_dq_close(U$6,$A92,1)</f>
        <v>7.2426000000000004</v>
      </c>
      <c r="V92" s="9" cm="1">
        <f t="array" ref="V92">[1]!s_dq_close(V$6,$A92,1)</f>
        <v>104.9395</v>
      </c>
      <c r="W92" s="11" cm="1">
        <f t="array" ref="W92">[1]!s_dq_close(W$6,$A92,1)</f>
        <v>562.29999999999995</v>
      </c>
      <c r="X92" s="11" cm="1">
        <f t="array" ref="X92">[1]!s_dq_close(X$6,$A92,1)</f>
        <v>2311.1</v>
      </c>
      <c r="Y92" s="11" cm="1">
        <f t="array" ref="Y92">[1]!s_dq_close(Y$6,$A92,1)</f>
        <v>75.38</v>
      </c>
      <c r="Z92" s="11" cm="1">
        <f t="array" ref="Z92">[1]!s_dq_close(Z$6,$A92,1)</f>
        <v>79.47</v>
      </c>
      <c r="AA92" s="12" cm="1">
        <f t="array" ref="AA92">[1]!s_dq_oi(AA$6,$A92)</f>
        <v>1989566</v>
      </c>
      <c r="AB92" s="12" cm="1">
        <f t="array" ref="AB92">[1]!s_dq_close(AB$6,$A92,1)</f>
        <v>3494</v>
      </c>
      <c r="AC92" s="12" cm="1">
        <f t="array" ref="AC92">[1]!s_dq_close(AC$6,$A92,1)</f>
        <v>3463.71</v>
      </c>
      <c r="AD92" s="12" cm="1">
        <f t="array" ref="AD92">[1]!s_dq_close(AD$6,$A92,1)</f>
        <v>3655</v>
      </c>
      <c r="AE92" s="12" cm="1">
        <f t="array" ref="AE92">[1]!s_dq_close(AE$6,$A92,1)</f>
        <v>3813</v>
      </c>
      <c r="AF92" s="12" cm="1">
        <f t="array" ref="AF92">[1]!s_dq_close(AF$6,$A92,1)</f>
        <v>839.5</v>
      </c>
      <c r="AG92" s="12">
        <f>[1]!s_dq_close($AG$6,$A92)</f>
        <v>-2910</v>
      </c>
      <c r="AH92" s="11">
        <f>[1]!s_dq_close($AH$6,A92)</f>
        <v>7.2632000000000003</v>
      </c>
    </row>
    <row r="93" spans="1:34">
      <c r="A93" s="5">
        <v>45445</v>
      </c>
      <c r="B93" s="6">
        <v>2.2926000000000002</v>
      </c>
      <c r="C93" s="6">
        <v>2.3851</v>
      </c>
      <c r="D93" s="6">
        <v>2.1573000000000002</v>
      </c>
      <c r="E93" s="6">
        <v>4.51</v>
      </c>
      <c r="F93" s="6">
        <v>1.8082</v>
      </c>
      <c r="G93" s="6">
        <v>2.0749</v>
      </c>
      <c r="H93" s="6">
        <v>5.18</v>
      </c>
      <c r="I93" s="6">
        <v>1.7987</v>
      </c>
      <c r="J93" s="10">
        <v>2.16</v>
      </c>
      <c r="K93" s="10">
        <v>217.64</v>
      </c>
      <c r="L93" s="10"/>
      <c r="M93" s="1" cm="1">
        <f t="array" ref="M93">[1]!s_val_pe_ttm(M$6,$A93)</f>
        <v>13.5578002929688</v>
      </c>
      <c r="N93" s="1" cm="1">
        <f t="array" ref="N93">[1]!s_val_pe_ttm(N$6,$A93)</f>
        <v>26.374799728393601</v>
      </c>
      <c r="O93" s="1" cm="1">
        <f t="array" ref="O93">[1]!s_val_pb_lf(O$6,$A93)</f>
        <v>1.23679995536804</v>
      </c>
      <c r="P93" s="1" cm="1">
        <f t="array" ref="P93">[1]!s_val_pb_lf(P$6,$A93)</f>
        <v>4.7335000038146999</v>
      </c>
      <c r="Q93" s="1">
        <f>[1]!cb_anal_convpremiumratio($Q$6,A93-2)</f>
        <v>65.430956554307102</v>
      </c>
      <c r="S93" s="1">
        <f>[1]!cb_anal_straightbondpremiumratio($S$6,A93-3)</f>
        <v>0</v>
      </c>
      <c r="T93" s="9" cm="1">
        <f t="array" ref="T93">[1]!s_dq_close(T$6,$A93,1)</f>
        <v>12.92</v>
      </c>
      <c r="U93" s="9" cm="1">
        <f t="array" ref="U93">[1]!s_dq_close(U$6,$A93,1)</f>
        <v>7.2439999999999998</v>
      </c>
      <c r="V93" s="9" cm="1">
        <f t="array" ref="V93">[1]!s_dq_close(V$6,$A93,1)</f>
        <v>104.6318</v>
      </c>
      <c r="W93" s="11" cm="1">
        <f t="array" ref="W93">[1]!s_dq_close(W$6,$A93,1)</f>
        <v>556.86</v>
      </c>
      <c r="X93" s="11" cm="1">
        <f t="array" ref="X93">[1]!s_dq_close(X$6,$A93,1)</f>
        <v>2347.6999999999998</v>
      </c>
      <c r="Y93" s="11" cm="1">
        <f t="array" ref="Y93">[1]!s_dq_close(Y$6,$A93,1)</f>
        <v>77.180000000000007</v>
      </c>
      <c r="Z93" s="11" cm="1">
        <f t="array" ref="Z93">[1]!s_dq_close(Z$6,$A93,1)</f>
        <v>81.37</v>
      </c>
      <c r="AA93" s="12" cm="1">
        <f t="array" ref="AA93">[1]!s_dq_oi(AA$6,$A93)</f>
        <v>1997370</v>
      </c>
      <c r="AB93" s="12" cm="1">
        <f t="array" ref="AB93">[1]!s_dq_close(AB$6,$A93,1)</f>
        <v>3495</v>
      </c>
      <c r="AC93" s="12" cm="1">
        <f t="array" ref="AC93">[1]!s_dq_close(AC$6,$A93,1)</f>
        <v>3450.29</v>
      </c>
      <c r="AD93" s="12" cm="1">
        <f t="array" ref="AD93">[1]!s_dq_close(AD$6,$A93,1)</f>
        <v>3706</v>
      </c>
      <c r="AE93" s="12" cm="1">
        <f t="array" ref="AE93">[1]!s_dq_close(AE$6,$A93,1)</f>
        <v>3833</v>
      </c>
      <c r="AF93" s="12" cm="1">
        <f t="array" ref="AF93">[1]!s_dq_close(AF$6,$A93,1)</f>
        <v>865</v>
      </c>
      <c r="AG93" s="12">
        <f>[1]!s_dq_close($AG$6,$A93)</f>
        <v>-2902</v>
      </c>
      <c r="AH93" s="11">
        <f>[1]!s_dq_close($AH$6,A93)</f>
        <v>7.2632000000000003</v>
      </c>
    </row>
    <row r="94" spans="1:34">
      <c r="A94" s="5">
        <v>45438</v>
      </c>
      <c r="B94" s="6">
        <v>2.3134000000000001</v>
      </c>
      <c r="C94" s="6">
        <v>2.38</v>
      </c>
      <c r="D94" s="6">
        <v>2.1591999999999998</v>
      </c>
      <c r="E94" s="6">
        <v>4.46</v>
      </c>
      <c r="F94" s="6">
        <v>1.8011999999999999</v>
      </c>
      <c r="G94" s="6">
        <v>2.0569000000000002</v>
      </c>
      <c r="H94" s="6">
        <v>5.21</v>
      </c>
      <c r="I94" s="6">
        <v>1.8278000000000001</v>
      </c>
      <c r="J94" s="10">
        <v>2.14</v>
      </c>
      <c r="K94" s="10">
        <v>220.92</v>
      </c>
      <c r="L94" s="10"/>
      <c r="M94" s="1" cm="1">
        <f t="array" ref="M94">[1]!s_val_pe_ttm(M$6,$A94)</f>
        <v>13.540800094604499</v>
      </c>
      <c r="N94" s="1" cm="1">
        <f t="array" ref="N94">[1]!s_val_pe_ttm(N$6,$A94)</f>
        <v>26.5452995300293</v>
      </c>
      <c r="O94" s="1" cm="1">
        <f t="array" ref="O94">[1]!s_val_pb_lf(O$6,$A94)</f>
        <v>1.2346999645233201</v>
      </c>
      <c r="P94" s="1" cm="1">
        <f t="array" ref="P94">[1]!s_val_pb_lf(P$6,$A94)</f>
        <v>4.7621998786926296</v>
      </c>
      <c r="Q94" s="1">
        <f>[1]!cb_anal_convpremiumratio($Q$6,A94-2)</f>
        <v>65.062833707865195</v>
      </c>
      <c r="S94" s="1">
        <f>[1]!cb_anal_straightbondpremiumratio($S$6,A94-3)</f>
        <v>0</v>
      </c>
      <c r="T94" s="9" cm="1">
        <f t="array" ref="T94">[1]!s_dq_close(T$6,$A94,1)</f>
        <v>11.93</v>
      </c>
      <c r="U94" s="9" cm="1">
        <f t="array" ref="U94">[1]!s_dq_close(U$6,$A94,1)</f>
        <v>7.2446999999999999</v>
      </c>
      <c r="V94" s="9" cm="1">
        <f t="array" ref="V94">[1]!s_dq_close(V$6,$A94,1)</f>
        <v>104.74209999999999</v>
      </c>
      <c r="W94" s="11" cm="1">
        <f t="array" ref="W94">[1]!s_dq_close(W$6,$A94,1)</f>
        <v>554.48</v>
      </c>
      <c r="X94" s="11" cm="1">
        <f t="array" ref="X94">[1]!s_dq_close(X$6,$A94,1)</f>
        <v>2335.1999999999998</v>
      </c>
      <c r="Y94" s="11" cm="1">
        <f t="array" ref="Y94">[1]!s_dq_close(Y$6,$A94,1)</f>
        <v>77.8</v>
      </c>
      <c r="Z94" s="11" cm="1">
        <f t="array" ref="Z94">[1]!s_dq_close(Z$6,$A94,1)</f>
        <v>81.849999999999994</v>
      </c>
      <c r="AA94" s="12" cm="1">
        <f t="array" ref="AA94">[1]!s_dq_oi(AA$6,$A94)</f>
        <v>2294023</v>
      </c>
      <c r="AB94" s="12" cm="1">
        <f t="array" ref="AB94">[1]!s_dq_close(AB$6,$A94,1)</f>
        <v>3589</v>
      </c>
      <c r="AC94" s="12" cm="1">
        <f t="array" ref="AC94">[1]!s_dq_close(AC$6,$A94,1)</f>
        <v>3555.14</v>
      </c>
      <c r="AD94" s="12" cm="1">
        <f t="array" ref="AD94">[1]!s_dq_close(AD$6,$A94,1)</f>
        <v>3788</v>
      </c>
      <c r="AE94" s="12" cm="1">
        <f t="array" ref="AE94">[1]!s_dq_close(AE$6,$A94,1)</f>
        <v>3903</v>
      </c>
      <c r="AF94" s="12" cm="1">
        <f t="array" ref="AF94">[1]!s_dq_close(AF$6,$A94,1)</f>
        <v>908</v>
      </c>
      <c r="AG94" s="12">
        <f>[1]!s_dq_close($AG$6,$A94)</f>
        <v>-2930</v>
      </c>
      <c r="AH94" s="11">
        <f>[1]!s_dq_close($AH$6,A94)</f>
        <v>7.2618</v>
      </c>
    </row>
    <row r="95" spans="1:34">
      <c r="A95" s="5">
        <v>45431</v>
      </c>
      <c r="B95" s="6">
        <v>2.3077000000000001</v>
      </c>
      <c r="C95" s="6">
        <v>2.3824999999999998</v>
      </c>
      <c r="D95" s="6">
        <v>2.1915</v>
      </c>
      <c r="E95" s="6">
        <v>4.42</v>
      </c>
      <c r="F95" s="6">
        <v>1.8082</v>
      </c>
      <c r="G95" s="6">
        <v>2.0674999999999999</v>
      </c>
      <c r="H95" s="6">
        <v>5.14</v>
      </c>
      <c r="I95" s="6">
        <v>1.8324</v>
      </c>
      <c r="J95" s="10">
        <v>2.1</v>
      </c>
      <c r="K95" s="10">
        <v>0</v>
      </c>
      <c r="L95" s="10"/>
      <c r="M95" s="1" cm="1">
        <f t="array" ref="M95">[1]!s_val_pe_ttm(M$6,$A95)</f>
        <v>13.7932996749878</v>
      </c>
      <c r="N95" s="1" cm="1">
        <f t="array" ref="N95">[1]!s_val_pe_ttm(N$6,$A95)</f>
        <v>26.6473999023438</v>
      </c>
      <c r="O95" s="1" cm="1">
        <f t="array" ref="O95">[1]!s_val_pb_lf(O$6,$A95)</f>
        <v>1.2573000192642201</v>
      </c>
      <c r="P95" s="1" cm="1">
        <f t="array" ref="P95">[1]!s_val_pb_lf(P$6,$A95)</f>
        <v>4.7639999389648402</v>
      </c>
      <c r="Q95" s="1">
        <f>[1]!cb_anal_convpremiumratio($Q$6,A95-2)</f>
        <v>61.143046268656697</v>
      </c>
      <c r="S95" s="1">
        <f>[1]!cb_anal_straightbondpremiumratio($S$6,A95-3)</f>
        <v>0</v>
      </c>
      <c r="T95" s="9" cm="1">
        <f t="array" ref="T95">[1]!s_dq_close(T$6,$A95,1)</f>
        <v>11.99</v>
      </c>
      <c r="U95" s="9" cm="1">
        <f t="array" ref="U95">[1]!s_dq_close(U$6,$A95,1)</f>
        <v>7.2241999999999997</v>
      </c>
      <c r="V95" s="9" cm="1">
        <f t="array" ref="V95">[1]!s_dq_close(V$6,$A95,1)</f>
        <v>104.4932</v>
      </c>
      <c r="W95" s="11" cm="1">
        <f t="array" ref="W95">[1]!s_dq_close(W$6,$A95,1)</f>
        <v>564.86</v>
      </c>
      <c r="X95" s="11" cm="1">
        <f t="array" ref="X95">[1]!s_dq_close(X$6,$A95,1)</f>
        <v>2419.8000000000002</v>
      </c>
      <c r="Y95" s="11" cm="1">
        <f t="array" ref="Y95">[1]!s_dq_close(Y$6,$A95,1)</f>
        <v>79.52</v>
      </c>
      <c r="Z95" s="11" cm="1">
        <f t="array" ref="Z95">[1]!s_dq_close(Z$6,$A95,1)</f>
        <v>84</v>
      </c>
      <c r="AA95" s="12" cm="1">
        <f t="array" ref="AA95">[1]!s_dq_oi(AA$6,$A95)</f>
        <v>2308938</v>
      </c>
      <c r="AB95" s="12" cm="1">
        <f t="array" ref="AB95">[1]!s_dq_close(AB$6,$A95,1)</f>
        <v>3592</v>
      </c>
      <c r="AC95" s="12" cm="1">
        <f t="array" ref="AC95">[1]!s_dq_close(AC$6,$A95,1)</f>
        <v>3514</v>
      </c>
      <c r="AD95" s="12" cm="1">
        <f t="array" ref="AD95">[1]!s_dq_close(AD$6,$A95,1)</f>
        <v>3716</v>
      </c>
      <c r="AE95" s="12" cm="1">
        <f t="array" ref="AE95">[1]!s_dq_close(AE$6,$A95,1)</f>
        <v>3849</v>
      </c>
      <c r="AF95" s="12" cm="1">
        <f t="array" ref="AF95">[1]!s_dq_close(AF$6,$A95,1)</f>
        <v>891.5</v>
      </c>
      <c r="AG95" s="12">
        <f>[1]!s_dq_close($AG$6,$A95)</f>
        <v>-2870</v>
      </c>
      <c r="AH95" s="11">
        <f>[1]!s_dq_close($AH$6,A95)</f>
        <v>7.2336999999999998</v>
      </c>
    </row>
    <row r="96" spans="1:34">
      <c r="A96" s="5">
        <v>45424</v>
      </c>
      <c r="B96" s="6">
        <v>2.3361000000000001</v>
      </c>
      <c r="C96" s="6">
        <v>2.41</v>
      </c>
      <c r="D96" s="6">
        <v>2.2595999999999998</v>
      </c>
      <c r="E96" s="6">
        <v>4.5</v>
      </c>
      <c r="F96" s="6">
        <v>1.8995</v>
      </c>
      <c r="G96" s="6">
        <v>2.113</v>
      </c>
      <c r="H96" s="6">
        <v>5.17</v>
      </c>
      <c r="I96" s="6">
        <v>1.893</v>
      </c>
      <c r="J96" s="10">
        <v>2.16</v>
      </c>
      <c r="K96" s="10">
        <v>219.15</v>
      </c>
      <c r="L96" s="10"/>
      <c r="M96" s="1" cm="1">
        <f t="array" ref="M96">[1]!s_val_pe_ttm(M$6,$A96)</f>
        <v>13.8145999908447</v>
      </c>
      <c r="N96" s="1" cm="1">
        <f t="array" ref="N96">[1]!s_val_pe_ttm(N$6,$A96)</f>
        <v>26.2353000640869</v>
      </c>
      <c r="O96" s="1" cm="1">
        <f t="array" ref="O96">[1]!s_val_pb_lf(O$6,$A96)</f>
        <v>1.2581000328064</v>
      </c>
      <c r="P96" s="1" cm="1">
        <f t="array" ref="P96">[1]!s_val_pb_lf(P$6,$A96)</f>
        <v>4.6869997978210396</v>
      </c>
      <c r="Q96" s="1">
        <f>[1]!cb_anal_convpremiumratio($Q$6,A96-2)</f>
        <v>61.9325281716417</v>
      </c>
      <c r="S96" s="1">
        <f>[1]!cb_anal_straightbondpremiumratio($S$6,A96-3)</f>
        <v>0</v>
      </c>
      <c r="T96" s="9" cm="1">
        <f t="array" ref="T96">[1]!s_dq_close(T$6,$A96,1)</f>
        <v>12.55</v>
      </c>
      <c r="U96" s="9" cm="1">
        <f t="array" ref="U96">[1]!s_dq_close(U$6,$A96,1)</f>
        <v>7.2245999999999997</v>
      </c>
      <c r="V96" s="9" cm="1">
        <f t="array" ref="V96">[1]!s_dq_close(V$6,$A96,1)</f>
        <v>105.32769999999999</v>
      </c>
      <c r="W96" s="11" cm="1">
        <f t="array" ref="W96">[1]!s_dq_close(W$6,$A96,1)</f>
        <v>561.4</v>
      </c>
      <c r="X96" s="11" cm="1">
        <f t="array" ref="X96">[1]!s_dq_close(X$6,$A96,1)</f>
        <v>2366.9</v>
      </c>
      <c r="Y96" s="11" cm="1">
        <f t="array" ref="Y96">[1]!s_dq_close(Y$6,$A96,1)</f>
        <v>78.2</v>
      </c>
      <c r="Z96" s="11" cm="1">
        <f t="array" ref="Z96">[1]!s_dq_close(Z$6,$A96,1)</f>
        <v>82.78</v>
      </c>
      <c r="AA96" s="12" cm="1">
        <f t="array" ref="AA96">[1]!s_dq_oi(AA$6,$A96)</f>
        <v>2262983</v>
      </c>
      <c r="AB96" s="12" cm="1">
        <f t="array" ref="AB96">[1]!s_dq_close(AB$6,$A96,1)</f>
        <v>3523</v>
      </c>
      <c r="AC96" s="12" cm="1">
        <f t="array" ref="AC96">[1]!s_dq_close(AC$6,$A96,1)</f>
        <v>3509.43</v>
      </c>
      <c r="AD96" s="12" cm="1">
        <f t="array" ref="AD96">[1]!s_dq_close(AD$6,$A96,1)</f>
        <v>3662</v>
      </c>
      <c r="AE96" s="12" cm="1">
        <f t="array" ref="AE96">[1]!s_dq_close(AE$6,$A96,1)</f>
        <v>3806</v>
      </c>
      <c r="AF96" s="12" cm="1">
        <f t="array" ref="AF96">[1]!s_dq_close(AF$6,$A96,1)</f>
        <v>873.5</v>
      </c>
      <c r="AG96" s="12">
        <f>[1]!s_dq_close($AG$6,$A96)</f>
        <v>-2791</v>
      </c>
      <c r="AH96" s="11">
        <f>[1]!s_dq_close($AH$6,A96)</f>
        <v>7.2343999999999999</v>
      </c>
    </row>
    <row r="97" spans="1:34">
      <c r="A97" s="5">
        <v>45417</v>
      </c>
      <c r="B97" s="6">
        <v>2.3028</v>
      </c>
      <c r="C97" s="6">
        <v>2.3997999999999999</v>
      </c>
      <c r="D97" s="6">
        <v>2.3058999999999998</v>
      </c>
      <c r="E97" s="6">
        <v>4.5</v>
      </c>
      <c r="F97" s="6">
        <v>1.889</v>
      </c>
      <c r="G97" s="6">
        <v>2.1440000000000001</v>
      </c>
      <c r="H97" s="6">
        <v>5.12</v>
      </c>
      <c r="I97" s="6">
        <v>1.9032</v>
      </c>
      <c r="J97" s="10">
        <v>2.15</v>
      </c>
      <c r="K97" s="10">
        <v>219.94</v>
      </c>
      <c r="L97" s="10"/>
      <c r="M97" s="1" cm="1">
        <f t="array" ref="M97">[1]!s_val_pe_ttm(M$6,$A97)</f>
        <v>13.6107997894287</v>
      </c>
      <c r="N97" s="1" cm="1">
        <f t="array" ref="N97">[1]!s_val_pe_ttm(N$6,$A97)</f>
        <v>25.503400802612301</v>
      </c>
      <c r="O97" s="1" cm="1">
        <f t="array" ref="O97">[1]!s_val_pb_lf(O$6,$A97)</f>
        <v>1.24080002307892</v>
      </c>
      <c r="P97" s="1" cm="1">
        <f t="array" ref="P97">[1]!s_val_pb_lf(P$6,$A97)</f>
        <v>4.6043000221252397</v>
      </c>
      <c r="Q97" s="1">
        <f>[1]!cb_anal_convpremiumratio($Q$6,A97-2)</f>
        <v>0</v>
      </c>
      <c r="S97" s="1">
        <f>[1]!cb_anal_straightbondpremiumratio($S$6,A97-3)</f>
        <v>0</v>
      </c>
      <c r="T97" s="9" cm="1">
        <f t="array" ref="T97">[1]!s_dq_close(T$6,$A97,1)</f>
        <v>13.49</v>
      </c>
      <c r="U97" s="9" cm="1">
        <f t="array" ref="U97">[1]!s_dq_close(U$6,$A97,1)</f>
        <v>7.2416</v>
      </c>
      <c r="V97" s="9" cm="1">
        <f t="array" ref="V97">[1]!s_dq_close(V$6,$A97,1)</f>
        <v>105.0851</v>
      </c>
      <c r="W97" s="11" cm="1">
        <f t="array" ref="W97">[1]!s_dq_close(W$6,$A97,1)</f>
        <v>549.5</v>
      </c>
      <c r="X97" s="11" cm="1">
        <f t="array" ref="X97">[1]!s_dq_close(X$6,$A97,1)</f>
        <v>2310.1</v>
      </c>
      <c r="Y97" s="11" cm="1">
        <f t="array" ref="Y97">[1]!s_dq_close(Y$6,$A97,1)</f>
        <v>77.989999999999995</v>
      </c>
      <c r="Z97" s="11" cm="1">
        <f t="array" ref="Z97">[1]!s_dq_close(Z$6,$A97,1)</f>
        <v>82.78</v>
      </c>
      <c r="AA97" s="12" cm="1">
        <f t="array" ref="AA97">[1]!s_dq_oi(AA$6,$A97)</f>
        <v>2095592</v>
      </c>
      <c r="AB97" s="12" cm="1">
        <f t="array" ref="AB97">[1]!s_dq_close(AB$6,$A97,1)</f>
        <v>3399</v>
      </c>
      <c r="AC97" s="12" cm="1">
        <f t="array" ref="AC97">[1]!s_dq_close(AC$6,$A97,1)</f>
        <v>3369.71</v>
      </c>
      <c r="AD97" s="12" cm="1">
        <f t="array" ref="AD97">[1]!s_dq_close(AD$6,$A97,1)</f>
        <v>3656</v>
      </c>
      <c r="AE97" s="12" cm="1">
        <f t="array" ref="AE97">[1]!s_dq_close(AE$6,$A97,1)</f>
        <v>3804</v>
      </c>
      <c r="AF97" s="12" cm="1">
        <f t="array" ref="AF97">[1]!s_dq_close(AF$6,$A97,1)</f>
        <v>874</v>
      </c>
      <c r="AG97" s="12">
        <f>[1]!s_dq_close($AG$6,$A97)</f>
        <v>-2810</v>
      </c>
      <c r="AH97" s="11">
        <f>[1]!s_dq_close($AH$6,A97)</f>
        <v>7.1916000000000002</v>
      </c>
    </row>
    <row r="98" spans="1:34">
      <c r="A98" s="5">
        <v>45410</v>
      </c>
      <c r="B98" s="6">
        <v>2.3243999999999998</v>
      </c>
      <c r="C98" s="6">
        <v>2.4298000000000002</v>
      </c>
      <c r="D98" s="6">
        <v>2.2795000000000001</v>
      </c>
      <c r="E98" s="6">
        <v>4.67</v>
      </c>
      <c r="F98" s="6">
        <v>1.8963000000000001</v>
      </c>
      <c r="G98" s="6">
        <v>2.1021000000000001</v>
      </c>
      <c r="H98" s="6">
        <v>5.21</v>
      </c>
      <c r="I98" s="6">
        <v>1.8927</v>
      </c>
      <c r="J98" s="10">
        <v>2.2400000000000002</v>
      </c>
      <c r="K98" s="10">
        <v>0</v>
      </c>
      <c r="L98" s="10"/>
      <c r="M98" s="1" cm="1">
        <f t="array" ref="M98">[1]!s_val_pe_ttm(M$6,$A98)</f>
        <v>13.323499679565399</v>
      </c>
      <c r="N98" s="1" cm="1">
        <f t="array" ref="N98">[1]!s_val_pe_ttm(N$6,$A98)</f>
        <v>25.450799942016602</v>
      </c>
      <c r="O98" s="1" cm="1">
        <f t="array" ref="O98">[1]!s_val_pb_lf(O$6,$A98)</f>
        <v>1.25390005111694</v>
      </c>
      <c r="P98" s="1" cm="1">
        <f t="array" ref="P98">[1]!s_val_pb_lf(P$6,$A98)</f>
        <v>4.5996999740600604</v>
      </c>
      <c r="Q98" s="1">
        <f>[1]!cb_anal_convpremiumratio($Q$6,A98-2)</f>
        <v>66.444962734082495</v>
      </c>
      <c r="S98" s="1">
        <f>[1]!cb_anal_straightbondpremiumratio($S$6,A98-3)</f>
        <v>0</v>
      </c>
      <c r="T98" s="9" cm="1">
        <f t="array" ref="T98">[1]!s_dq_close(T$6,$A98,1)</f>
        <v>15.03</v>
      </c>
      <c r="U98" s="9" cm="1">
        <f t="array" ref="U98">[1]!s_dq_close(U$6,$A98,1)</f>
        <v>7.2462999999999997</v>
      </c>
      <c r="V98" s="9" cm="1">
        <f t="array" ref="V98">[1]!s_dq_close(V$6,$A98,1)</f>
        <v>106.0902</v>
      </c>
      <c r="W98" s="11" cm="1">
        <f t="array" ref="W98">[1]!s_dq_close(W$6,$A98,1)</f>
        <v>554.58000000000004</v>
      </c>
      <c r="X98" s="11" cm="1">
        <f t="array" ref="X98">[1]!s_dq_close(X$6,$A98,1)</f>
        <v>2349.6</v>
      </c>
      <c r="Y98" s="11" cm="1">
        <f t="array" ref="Y98">[1]!s_dq_close(Y$6,$A98,1)</f>
        <v>83.66</v>
      </c>
      <c r="Z98" s="11" cm="1">
        <f t="array" ref="Z98">[1]!s_dq_close(Z$6,$A98,1)</f>
        <v>88.06</v>
      </c>
      <c r="AA98" s="12" cm="1">
        <f t="array" ref="AA98">[1]!s_dq_oi(AA$6,$A98)</f>
        <v>2144031</v>
      </c>
      <c r="AB98" s="12" cm="1">
        <f t="array" ref="AB98">[1]!s_dq_close(AB$6,$A98,1)</f>
        <v>3386</v>
      </c>
      <c r="AC98" s="12" cm="1">
        <f t="array" ref="AC98">[1]!s_dq_close(AC$6,$A98,1)</f>
        <v>3371.43</v>
      </c>
      <c r="AD98" s="12" cm="1">
        <f t="array" ref="AD98">[1]!s_dq_close(AD$6,$A98,1)</f>
        <v>3685</v>
      </c>
      <c r="AE98" s="12" cm="1">
        <f t="array" ref="AE98">[1]!s_dq_close(AE$6,$A98,1)</f>
        <v>3833</v>
      </c>
      <c r="AF98" s="12" cm="1">
        <f t="array" ref="AF98">[1]!s_dq_close(AF$6,$A98,1)</f>
        <v>884.5</v>
      </c>
      <c r="AG98" s="12">
        <f>[1]!s_dq_close($AG$6,$A98)</f>
        <v>-2876</v>
      </c>
      <c r="AH98" s="11">
        <f>[1]!s_dq_close($AH$6,A98)</f>
        <v>7.2687999999999997</v>
      </c>
    </row>
    <row r="99" spans="1:34">
      <c r="A99" s="5">
        <v>45403</v>
      </c>
      <c r="B99" s="6">
        <v>2.254</v>
      </c>
      <c r="C99" s="6">
        <v>2.3169</v>
      </c>
      <c r="D99" s="6">
        <v>2.1993999999999998</v>
      </c>
      <c r="E99" s="6">
        <v>4.62</v>
      </c>
      <c r="F99" s="6">
        <v>1.8328</v>
      </c>
      <c r="G99" s="6">
        <v>2.0853000000000002</v>
      </c>
      <c r="H99" s="6">
        <v>5.17</v>
      </c>
      <c r="I99" s="6">
        <v>1.851</v>
      </c>
      <c r="J99" s="10">
        <v>2.21</v>
      </c>
      <c r="K99" s="10">
        <v>211.88</v>
      </c>
      <c r="L99" s="10"/>
      <c r="M99" s="1" cm="1">
        <f t="array" ref="M99">[1]!s_val_pe_ttm(M$6,$A99)</f>
        <v>13.2897996902466</v>
      </c>
      <c r="N99" s="1" cm="1">
        <f t="array" ref="N99">[1]!s_val_pe_ttm(N$6,$A99)</f>
        <v>24.820400238037099</v>
      </c>
      <c r="O99" s="1" cm="1">
        <f t="array" ref="O99">[1]!s_val_pb_lf(O$6,$A99)</f>
        <v>1.2612999677658101</v>
      </c>
      <c r="P99" s="1" cm="1">
        <f t="array" ref="P99">[1]!s_val_pb_lf(P$6,$A99)</f>
        <v>4.4853000640869096</v>
      </c>
      <c r="Q99" s="1">
        <f>[1]!cb_anal_convpremiumratio($Q$6,A99-2)</f>
        <v>71.275026217228401</v>
      </c>
      <c r="S99" s="1">
        <f>[1]!cb_anal_straightbondpremiumratio($S$6,A99-3)</f>
        <v>0</v>
      </c>
      <c r="T99" s="9" cm="1">
        <f t="array" ref="T99">[1]!s_dq_close(T$6,$A99,1)</f>
        <v>18.71</v>
      </c>
      <c r="U99" s="9" cm="1">
        <f t="array" ref="U99">[1]!s_dq_close(U$6,$A99,1)</f>
        <v>7.2401</v>
      </c>
      <c r="V99" s="9" cm="1">
        <f t="array" ref="V99">[1]!s_dq_close(V$6,$A99,1)</f>
        <v>106.11490000000001</v>
      </c>
      <c r="W99" s="11" cm="1">
        <f t="array" ref="W99">[1]!s_dq_close(W$6,$A99,1)</f>
        <v>568.29999999999995</v>
      </c>
      <c r="X99" s="11" cm="1">
        <f t="array" ref="X99">[1]!s_dq_close(X$6,$A99,1)</f>
        <v>2406.6999999999998</v>
      </c>
      <c r="Y99" s="11" cm="1">
        <f t="array" ref="Y99">[1]!s_dq_close(Y$6,$A99,1)</f>
        <v>82.11</v>
      </c>
      <c r="Z99" s="11" cm="1">
        <f t="array" ref="Z99">[1]!s_dq_close(Z$6,$A99,1)</f>
        <v>87.39</v>
      </c>
      <c r="AA99" s="12" cm="1">
        <f t="array" ref="AA99">[1]!s_dq_oi(AA$6,$A99)</f>
        <v>1974110</v>
      </c>
      <c r="AB99" s="12" cm="1">
        <f t="array" ref="AB99">[1]!s_dq_close(AB$6,$A99,1)</f>
        <v>3353</v>
      </c>
      <c r="AC99" s="12" cm="1">
        <f t="array" ref="AC99">[1]!s_dq_close(AC$6,$A99,1)</f>
        <v>3362.86</v>
      </c>
      <c r="AD99" s="12" cm="1">
        <f t="array" ref="AD99">[1]!s_dq_close(AD$6,$A99,1)</f>
        <v>3675</v>
      </c>
      <c r="AE99" s="12" cm="1">
        <f t="array" ref="AE99">[1]!s_dq_close(AE$6,$A99,1)</f>
        <v>3835</v>
      </c>
      <c r="AF99" s="12" cm="1">
        <f t="array" ref="AF99">[1]!s_dq_close(AF$6,$A99,1)</f>
        <v>871</v>
      </c>
      <c r="AG99" s="12">
        <f>[1]!s_dq_close($AG$6,$A99)</f>
        <v>-2808</v>
      </c>
      <c r="AH99" s="11">
        <f>[1]!s_dq_close($AH$6,A99)</f>
        <v>7.2508999999999997</v>
      </c>
    </row>
    <row r="100" spans="1:34">
      <c r="A100" s="5">
        <v>45396</v>
      </c>
      <c r="B100" s="6">
        <v>2.2837000000000001</v>
      </c>
      <c r="C100" s="6">
        <v>2.3965000000000001</v>
      </c>
      <c r="D100" s="6">
        <v>2.2793000000000001</v>
      </c>
      <c r="E100" s="6">
        <v>4.5</v>
      </c>
      <c r="F100" s="6">
        <v>1.8117000000000001</v>
      </c>
      <c r="G100" s="6">
        <v>2.1555</v>
      </c>
      <c r="H100" s="6">
        <v>5.13</v>
      </c>
      <c r="I100" s="6">
        <v>1.8465</v>
      </c>
      <c r="J100" s="10">
        <v>2.11</v>
      </c>
      <c r="K100" s="10">
        <v>211.18</v>
      </c>
      <c r="L100" s="10"/>
      <c r="M100" s="1" cm="1">
        <f t="array" ref="M100">[1]!s_val_pe_ttm(M$6,$A100)</f>
        <v>12.9991998672485</v>
      </c>
      <c r="N100" s="1" cm="1">
        <f t="array" ref="N100">[1]!s_val_pe_ttm(N$6,$A100)</f>
        <v>25.5942993164062</v>
      </c>
      <c r="O100" s="1" cm="1">
        <f t="array" ref="O100">[1]!s_val_pb_lf(O$6,$A100)</f>
        <v>1.23740005493164</v>
      </c>
      <c r="P100" s="1" cm="1">
        <f t="array" ref="P100">[1]!s_val_pb_lf(P$6,$A100)</f>
        <v>4.6317000389099103</v>
      </c>
      <c r="Q100" s="1">
        <f>[1]!cb_anal_convpremiumratio($Q$6,A100-2)</f>
        <v>65.850084644194794</v>
      </c>
      <c r="S100" s="1">
        <f>[1]!cb_anal_straightbondpremiumratio($S$6,A100-3)</f>
        <v>0</v>
      </c>
      <c r="T100" s="9" cm="1">
        <f t="array" ref="T100">[1]!s_dq_close(T$6,$A100,1)</f>
        <v>17.309999999999999</v>
      </c>
      <c r="U100" s="9" cm="1">
        <f t="array" ref="U100">[1]!s_dq_close(U$6,$A100,1)</f>
        <v>7.2374999999999998</v>
      </c>
      <c r="V100" s="9" cm="1">
        <f t="array" ref="V100">[1]!s_dq_close(V$6,$A100,1)</f>
        <v>106.0228</v>
      </c>
      <c r="W100" s="11" cm="1">
        <f t="array" ref="W100">[1]!s_dq_close(W$6,$A100,1)</f>
        <v>570.5</v>
      </c>
      <c r="X100" s="11" cm="1">
        <f t="array" ref="X100">[1]!s_dq_close(X$6,$A100,1)</f>
        <v>2360.1999999999998</v>
      </c>
      <c r="Y100" s="11" cm="1">
        <f t="array" ref="Y100">[1]!s_dq_close(Y$6,$A100,1)</f>
        <v>85.45</v>
      </c>
      <c r="Z100" s="11" cm="1">
        <f t="array" ref="Z100">[1]!s_dq_close(Z$6,$A100,1)</f>
        <v>90.15</v>
      </c>
      <c r="AA100" s="12" cm="1">
        <f t="array" ref="AA100">[1]!s_dq_oi(AA$6,$A100)</f>
        <v>1910356</v>
      </c>
      <c r="AB100" s="12" cm="1">
        <f t="array" ref="AB100">[1]!s_dq_close(AB$6,$A100,1)</f>
        <v>3325</v>
      </c>
      <c r="AC100" s="12" cm="1">
        <f t="array" ref="AC100">[1]!s_dq_close(AC$6,$A100,1)</f>
        <v>3323.14</v>
      </c>
      <c r="AD100" s="12" cm="1">
        <f t="array" ref="AD100">[1]!s_dq_close(AD$6,$A100,1)</f>
        <v>3628</v>
      </c>
      <c r="AE100" s="12" cm="1">
        <f t="array" ref="AE100">[1]!s_dq_close(AE$6,$A100,1)</f>
        <v>3779</v>
      </c>
      <c r="AF100" s="12" cm="1">
        <f t="array" ref="AF100">[1]!s_dq_close(AF$6,$A100,1)</f>
        <v>843.5</v>
      </c>
      <c r="AG100" s="12">
        <f>[1]!s_dq_close($AG$6,$A100)</f>
        <v>-2793</v>
      </c>
      <c r="AH100" s="11">
        <f>[1]!s_dq_close($AH$6,A100)</f>
        <v>7.2672999999999996</v>
      </c>
    </row>
    <row r="101" spans="1:34">
      <c r="A101" s="5">
        <v>45389</v>
      </c>
      <c r="B101" s="6">
        <v>2.2936999999999999</v>
      </c>
      <c r="C101" s="6">
        <v>2.4123000000000001</v>
      </c>
      <c r="D101" s="6">
        <v>2.3925999999999998</v>
      </c>
      <c r="E101" s="6">
        <v>4.3899999999999997</v>
      </c>
      <c r="F101" s="6">
        <v>1.8309</v>
      </c>
      <c r="G101" s="6">
        <v>2.2850999999999999</v>
      </c>
      <c r="H101" s="6">
        <v>5.05</v>
      </c>
      <c r="I101" s="6">
        <v>1.8886000000000001</v>
      </c>
      <c r="J101" s="10">
        <v>2.02</v>
      </c>
      <c r="K101" s="10">
        <v>0</v>
      </c>
      <c r="L101" s="10"/>
      <c r="M101" s="1" cm="1">
        <f t="array" ref="M101">[1]!s_val_pe_ttm(M$6,$A101)</f>
        <v>13.2056999206543</v>
      </c>
      <c r="N101" s="1" cm="1">
        <f t="array" ref="N101">[1]!s_val_pe_ttm(N$6,$A101)</f>
        <v>25.9461994171143</v>
      </c>
      <c r="O101" s="1" cm="1">
        <f t="array" ref="O101">[1]!s_val_pb_lf(O$6,$A101)</f>
        <v>1.2574000358581501</v>
      </c>
      <c r="P101" s="1" cm="1">
        <f t="array" ref="P101">[1]!s_val_pb_lf(P$6,$A101)</f>
        <v>4.6978001594543501</v>
      </c>
      <c r="Q101" s="1">
        <f>[1]!cb_anal_convpremiumratio($Q$6,A101-2)</f>
        <v>0</v>
      </c>
      <c r="S101" s="1">
        <f>[1]!cb_anal_straightbondpremiumratio($S$6,A101-3)</f>
        <v>0</v>
      </c>
      <c r="T101" s="9" cm="1">
        <f t="array" ref="T101">[1]!s_dq_close(T$6,$A101,1)</f>
        <v>16.03</v>
      </c>
      <c r="U101" s="9" cm="1">
        <f t="array" ref="U101">[1]!s_dq_close(U$6,$A101,1)</f>
        <v>7.2355999999999998</v>
      </c>
      <c r="V101" s="9" cm="1">
        <f t="array" ref="V101">[1]!s_dq_close(V$6,$A101,1)</f>
        <v>104.2968</v>
      </c>
      <c r="W101" s="11" cm="1">
        <f t="array" ref="W101">[1]!s_dq_close(W$6,$A101,1)</f>
        <v>541.52</v>
      </c>
      <c r="X101" s="11" cm="1">
        <f t="array" ref="X101">[1]!s_dq_close(X$6,$A101,1)</f>
        <v>2349.1</v>
      </c>
      <c r="Y101" s="11" cm="1">
        <f t="array" ref="Y101">[1]!s_dq_close(Y$6,$A101,1)</f>
        <v>86.73</v>
      </c>
      <c r="Z101" s="11" cm="1">
        <f t="array" ref="Z101">[1]!s_dq_close(Z$6,$A101,1)</f>
        <v>90.86</v>
      </c>
      <c r="AA101" s="12" cm="1">
        <f t="array" ref="AA101">[1]!s_dq_oi(AA$6,$A101)</f>
        <v>1648113</v>
      </c>
      <c r="AB101" s="12" cm="1">
        <f t="array" ref="AB101">[1]!s_dq_close(AB$6,$A101,1)</f>
        <v>3293</v>
      </c>
      <c r="AC101" s="12" cm="1">
        <f t="array" ref="AC101">[1]!s_dq_close(AC$6,$A101,1)</f>
        <v>3436</v>
      </c>
      <c r="AD101" s="12" cm="1">
        <f t="array" ref="AD101">[1]!s_dq_close(AD$6,$A101,1)</f>
        <v>3463</v>
      </c>
      <c r="AE101" s="12" cm="1">
        <f t="array" ref="AE101">[1]!s_dq_close(AE$6,$A101,1)</f>
        <v>3659</v>
      </c>
      <c r="AF101" s="12" cm="1">
        <f t="array" ref="AF101">[1]!s_dq_close(AF$6,$A101,1)</f>
        <v>749</v>
      </c>
      <c r="AG101" s="12">
        <f>[1]!s_dq_close($AG$6,$A101)</f>
        <v>-2717</v>
      </c>
      <c r="AH101" s="11">
        <f>[1]!s_dq_close($AH$6,A101)</f>
        <v>7.2472000000000003</v>
      </c>
    </row>
    <row r="102" spans="1:34">
      <c r="A102" s="5">
        <v>45382</v>
      </c>
      <c r="B102" s="6">
        <v>2.2900999999999998</v>
      </c>
      <c r="C102" s="6">
        <v>2.4106000000000001</v>
      </c>
      <c r="D102" s="6">
        <v>2.4220000000000002</v>
      </c>
      <c r="E102" s="6">
        <v>4.2</v>
      </c>
      <c r="F102" s="6">
        <v>1.8404</v>
      </c>
      <c r="G102" s="6">
        <v>2.3264</v>
      </c>
      <c r="H102" s="6">
        <v>5.03</v>
      </c>
      <c r="I102" s="6">
        <v>1.9016999999999999</v>
      </c>
      <c r="J102" s="10">
        <v>1.88</v>
      </c>
      <c r="K102" s="10">
        <v>212.18</v>
      </c>
      <c r="L102" s="10"/>
      <c r="M102" s="1" cm="1">
        <f t="array" ref="M102">[1]!s_val_pe_ttm(M$6,$A102)</f>
        <v>13.0832004547119</v>
      </c>
      <c r="N102" s="1" cm="1">
        <f t="array" ref="N102">[1]!s_val_pe_ttm(N$6,$A102)</f>
        <v>26.193700790405298</v>
      </c>
      <c r="O102" s="1" cm="1">
        <f t="array" ref="O102">[1]!s_val_pb_lf(O$6,$A102)</f>
        <v>1.2472000122070299</v>
      </c>
      <c r="P102" s="1" cm="1">
        <f t="array" ref="P102">[1]!s_val_pb_lf(P$6,$A102)</f>
        <v>4.7446999549865696</v>
      </c>
      <c r="Q102" s="1">
        <f>[1]!cb_anal_convpremiumratio($Q$6,A102-2)</f>
        <v>61.400784514925398</v>
      </c>
      <c r="S102" s="1">
        <f>[1]!cb_anal_straightbondpremiumratio($S$6,A102-3)</f>
        <v>0</v>
      </c>
      <c r="T102" s="9" cm="1">
        <f t="array" ref="T102">[1]!s_dq_close(T$6,$A102,1)</f>
        <v>13.01</v>
      </c>
      <c r="U102" s="9" cm="1">
        <f t="array" ref="U102">[1]!s_dq_close(U$6,$A102,1)</f>
        <v>7.2232000000000003</v>
      </c>
      <c r="V102" s="9" cm="1">
        <f t="array" ref="V102">[1]!s_dq_close(V$6,$A102,1)</f>
        <v>104.50700000000001</v>
      </c>
      <c r="W102" s="11" cm="1">
        <f t="array" ref="W102">[1]!s_dq_close(W$6,$A102,1)</f>
        <v>531.29999999999995</v>
      </c>
      <c r="X102" s="11" cm="1">
        <f t="array" ref="X102">[1]!s_dq_close(X$6,$A102,1)</f>
        <v>2254.8000000000002</v>
      </c>
      <c r="Y102" s="11" cm="1">
        <f t="array" ref="Y102">[1]!s_dq_close(Y$6,$A102,1)</f>
        <v>83.11</v>
      </c>
      <c r="Z102" s="11" cm="1">
        <f t="array" ref="Z102">[1]!s_dq_close(Z$6,$A102,1)</f>
        <v>87.07</v>
      </c>
      <c r="AA102" s="12" cm="1">
        <f t="array" ref="AA102">[1]!s_dq_oi(AA$6,$A102)</f>
        <v>1004475</v>
      </c>
      <c r="AB102" s="12" cm="1">
        <f t="array" ref="AB102">[1]!s_dq_close(AB$6,$A102,1)</f>
        <v>3257</v>
      </c>
      <c r="AC102" s="12" cm="1">
        <f t="array" ref="AC102">[1]!s_dq_close(AC$6,$A102,1)</f>
        <v>3500.86</v>
      </c>
      <c r="AD102" s="12" cm="1">
        <f t="array" ref="AD102">[1]!s_dq_close(AD$6,$A102,1)</f>
        <v>3412</v>
      </c>
      <c r="AE102" s="12" cm="1">
        <f t="array" ref="AE102">[1]!s_dq_close(AE$6,$A102,1)</f>
        <v>3625</v>
      </c>
      <c r="AF102" s="12" cm="1">
        <f t="array" ref="AF102">[1]!s_dq_close(AF$6,$A102,1)</f>
        <v>740</v>
      </c>
      <c r="AG102" s="12">
        <f>[1]!s_dq_close($AG$6,$A102)</f>
        <v>-2676</v>
      </c>
      <c r="AH102" s="11">
        <f>[1]!s_dq_close($AH$6,A102)</f>
        <v>7.2575000000000003</v>
      </c>
    </row>
    <row r="103" spans="1:34">
      <c r="A103" s="5">
        <v>45375</v>
      </c>
      <c r="B103" s="6">
        <v>2.3050999999999999</v>
      </c>
      <c r="C103" s="6">
        <v>2.4182000000000001</v>
      </c>
      <c r="D103" s="6">
        <v>2.4525999999999999</v>
      </c>
      <c r="E103" s="6">
        <v>4.22</v>
      </c>
      <c r="F103" s="6">
        <v>1.9133</v>
      </c>
      <c r="G103" s="6">
        <v>2.3397000000000001</v>
      </c>
      <c r="H103" s="6">
        <v>4.9800000000000004</v>
      </c>
      <c r="I103" s="6">
        <v>1.9791000000000001</v>
      </c>
      <c r="J103" s="10">
        <v>1.87</v>
      </c>
      <c r="K103" s="10">
        <v>204.76</v>
      </c>
      <c r="L103" s="10"/>
      <c r="M103" s="1" cm="1">
        <f t="array" ref="M103">[1]!s_val_pe_ttm(M$6,$A103)</f>
        <v>13.070899963378899</v>
      </c>
      <c r="N103" s="1" cm="1">
        <f t="array" ref="N103">[1]!s_val_pe_ttm(N$6,$A103)</f>
        <v>26.016700744628899</v>
      </c>
      <c r="O103" s="1" cm="1">
        <f t="array" ref="O103">[1]!s_val_pb_lf(O$6,$A103)</f>
        <v>1.25820004940033</v>
      </c>
      <c r="P103" s="1" cm="1">
        <f t="array" ref="P103">[1]!s_val_pb_lf(P$6,$A103)</f>
        <v>4.7255001068115199</v>
      </c>
      <c r="Q103" s="1">
        <f>[1]!cb_anal_convpremiumratio($Q$6,A103-2)</f>
        <v>60.353847113594</v>
      </c>
      <c r="S103" s="1">
        <f>[1]!cb_anal_straightbondpremiumratio($S$6,A103-3)</f>
        <v>0</v>
      </c>
      <c r="T103" s="9" cm="1">
        <f t="array" ref="T103">[1]!s_dq_close(T$6,$A103,1)</f>
        <v>13.06</v>
      </c>
      <c r="U103" s="9" cm="1">
        <f t="array" ref="U103">[1]!s_dq_close(U$6,$A103,1)</f>
        <v>7.2282999999999999</v>
      </c>
      <c r="V103" s="9" cm="1">
        <f t="array" ref="V103">[1]!s_dq_close(V$6,$A103,1)</f>
        <v>104.4332</v>
      </c>
      <c r="W103" s="11" cm="1">
        <f t="array" ref="W103">[1]!s_dq_close(W$6,$A103,1)</f>
        <v>512.48</v>
      </c>
      <c r="X103" s="11" cm="1">
        <f t="array" ref="X103">[1]!s_dq_close(X$6,$A103,1)</f>
        <v>2166.5</v>
      </c>
      <c r="Y103" s="11" cm="1">
        <f t="array" ref="Y103">[1]!s_dq_close(Y$6,$A103,1)</f>
        <v>80.819999999999993</v>
      </c>
      <c r="Z103" s="11" cm="1">
        <f t="array" ref="Z103">[1]!s_dq_close(Z$6,$A103,1)</f>
        <v>84.94</v>
      </c>
      <c r="AA103" s="12" cm="1">
        <f t="array" ref="AA103">[1]!s_dq_oi(AA$6,$A103)</f>
        <v>1379158</v>
      </c>
      <c r="AB103" s="12" cm="1">
        <f t="array" ref="AB103">[1]!s_dq_close(AB$6,$A103,1)</f>
        <v>3316</v>
      </c>
      <c r="AC103" s="12" cm="1">
        <f t="array" ref="AC103">[1]!s_dq_close(AC$6,$A103,1)</f>
        <v>3664.29</v>
      </c>
      <c r="AD103" s="12" cm="1">
        <f t="array" ref="AD103">[1]!s_dq_close(AD$6,$A103,1)</f>
        <v>3612</v>
      </c>
      <c r="AE103" s="12" cm="1">
        <f t="array" ref="AE103">[1]!s_dq_close(AE$6,$A103,1)</f>
        <v>3822</v>
      </c>
      <c r="AF103" s="12" cm="1">
        <f t="array" ref="AF103">[1]!s_dq_close(AF$6,$A103,1)</f>
        <v>844</v>
      </c>
      <c r="AG103" s="12">
        <f>[1]!s_dq_close($AG$6,$A103)</f>
        <v>-2635</v>
      </c>
      <c r="AH103" s="11">
        <f>[1]!s_dq_close($AH$6,A103)</f>
        <v>7.2762000000000002</v>
      </c>
    </row>
    <row r="104" spans="1:34">
      <c r="A104" s="5">
        <v>45368</v>
      </c>
      <c r="B104" s="6">
        <v>2.3199999999999998</v>
      </c>
      <c r="C104" s="6">
        <v>2.4405999999999999</v>
      </c>
      <c r="D104" s="6">
        <v>2.4954999999999998</v>
      </c>
      <c r="E104" s="6">
        <v>4.3099999999999996</v>
      </c>
      <c r="F104" s="6">
        <v>1.9065000000000001</v>
      </c>
      <c r="G104" s="6">
        <v>2.3792</v>
      </c>
      <c r="H104" s="6">
        <v>5.05</v>
      </c>
      <c r="I104" s="6">
        <v>2.081</v>
      </c>
      <c r="J104" s="10">
        <v>1.99</v>
      </c>
      <c r="K104" s="10">
        <v>0</v>
      </c>
      <c r="L104" s="10"/>
      <c r="M104" s="1" cm="1">
        <f t="array" ref="M104">[1]!s_val_pe_ttm(M$6,$A104)</f>
        <v>13.0319004058838</v>
      </c>
      <c r="N104" s="1" cm="1">
        <f t="array" ref="N104">[1]!s_val_pe_ttm(N$6,$A104)</f>
        <v>25.470300674438501</v>
      </c>
      <c r="O104" s="1" cm="1">
        <f t="array" ref="O104">[1]!s_val_pb_lf(O$6,$A104)</f>
        <v>1.26339995861053</v>
      </c>
      <c r="P104" s="1" cm="1">
        <f t="array" ref="P104">[1]!s_val_pb_lf(P$6,$A104)</f>
        <v>4.6085000038146999</v>
      </c>
      <c r="Q104" s="1">
        <f>[1]!cb_anal_convpremiumratio($Q$6,A104-2)</f>
        <v>60.229938589981501</v>
      </c>
      <c r="S104" s="1">
        <f>[1]!cb_anal_straightbondpremiumratio($S$6,A104-3)</f>
        <v>0</v>
      </c>
      <c r="T104" s="9" cm="1">
        <f t="array" ref="T104">[1]!s_dq_close(T$6,$A104,1)</f>
        <v>14.41</v>
      </c>
      <c r="U104" s="9" cm="1">
        <f t="array" ref="U104">[1]!s_dq_close(U$6,$A104,1)</f>
        <v>7.1965000000000003</v>
      </c>
      <c r="V104" s="9" cm="1">
        <f t="array" ref="V104">[1]!s_dq_close(V$6,$A104,1)</f>
        <v>103.45310000000001</v>
      </c>
      <c r="W104" s="11" cm="1">
        <f t="array" ref="W104">[1]!s_dq_close(W$6,$A104,1)</f>
        <v>508.16</v>
      </c>
      <c r="X104" s="11" cm="1">
        <f t="array" ref="X104">[1]!s_dq_close(X$6,$A104,1)</f>
        <v>2159.4</v>
      </c>
      <c r="Y104" s="11" cm="1">
        <f t="array" ref="Y104">[1]!s_dq_close(Y$6,$A104,1)</f>
        <v>81</v>
      </c>
      <c r="Z104" s="11" cm="1">
        <f t="array" ref="Z104">[1]!s_dq_close(Z$6,$A104,1)</f>
        <v>85.35</v>
      </c>
      <c r="AA104" s="12" cm="1">
        <f t="array" ref="AA104">[1]!s_dq_oi(AA$6,$A104)</f>
        <v>1463153</v>
      </c>
      <c r="AB104" s="12" cm="1">
        <f t="array" ref="AB104">[1]!s_dq_close(AB$6,$A104,1)</f>
        <v>3292</v>
      </c>
      <c r="AC104" s="12" cm="1">
        <f t="array" ref="AC104">[1]!s_dq_close(AC$6,$A104,1)</f>
        <v>3500.57</v>
      </c>
      <c r="AD104" s="12" cm="1">
        <f t="array" ref="AD104">[1]!s_dq_close(AD$6,$A104,1)</f>
        <v>3490</v>
      </c>
      <c r="AE104" s="12" cm="1">
        <f t="array" ref="AE104">[1]!s_dq_close(AE$6,$A104,1)</f>
        <v>3692</v>
      </c>
      <c r="AF104" s="12" cm="1">
        <f t="array" ref="AF104">[1]!s_dq_close(AF$6,$A104,1)</f>
        <v>781.5</v>
      </c>
      <c r="AG104" s="12">
        <f>[1]!s_dq_close($AG$6,$A104)</f>
        <v>-2650</v>
      </c>
      <c r="AH104" s="11">
        <f>[1]!s_dq_close($AH$6,A104)</f>
        <v>7.2064000000000004</v>
      </c>
    </row>
    <row r="105" spans="1:34">
      <c r="A105" s="5">
        <v>45361</v>
      </c>
      <c r="B105" s="6">
        <v>2.2825000000000002</v>
      </c>
      <c r="C105" s="6">
        <v>2.3854000000000002</v>
      </c>
      <c r="D105" s="6">
        <v>2.3946999999999998</v>
      </c>
      <c r="E105" s="6">
        <v>4.09</v>
      </c>
      <c r="F105" s="6">
        <v>1.8307</v>
      </c>
      <c r="G105" s="6">
        <v>2.3001</v>
      </c>
      <c r="H105" s="6">
        <v>4.92</v>
      </c>
      <c r="I105" s="6">
        <v>2.0617000000000001</v>
      </c>
      <c r="J105" s="10">
        <v>1.81</v>
      </c>
      <c r="K105" s="10">
        <v>205.8</v>
      </c>
      <c r="L105" s="10"/>
      <c r="M105" s="1" cm="1">
        <f t="array" ref="M105">[1]!s_val_pe_ttm(M$6,$A105)</f>
        <v>13.0958003997803</v>
      </c>
      <c r="N105" s="1" cm="1">
        <f t="array" ref="N105">[1]!s_val_pe_ttm(N$6,$A105)</f>
        <v>25.429399490356399</v>
      </c>
      <c r="O105" s="1" cm="1">
        <f t="array" ref="O105">[1]!s_val_pb_lf(O$6,$A105)</f>
        <v>1.2690999507904099</v>
      </c>
      <c r="P105" s="1" cm="1">
        <f t="array" ref="P105">[1]!s_val_pb_lf(P$6,$A105)</f>
        <v>4.6058998107910201</v>
      </c>
      <c r="Q105" s="1">
        <f>[1]!cb_anal_convpremiumratio($Q$6,A105-2)</f>
        <v>65.445577022058799</v>
      </c>
      <c r="S105" s="1">
        <f>[1]!cb_anal_straightbondpremiumratio($S$6,A105-3)</f>
        <v>0</v>
      </c>
      <c r="T105" s="9" cm="1">
        <f t="array" ref="T105">[1]!s_dq_close(T$6,$A105,1)</f>
        <v>14.74</v>
      </c>
      <c r="U105" s="9" cm="1">
        <f t="array" ref="U105">[1]!s_dq_close(U$6,$A105,1)</f>
        <v>7.1917999999999997</v>
      </c>
      <c r="V105" s="9" cm="1">
        <f t="array" ref="V105">[1]!s_dq_close(V$6,$A105,1)</f>
        <v>102.742</v>
      </c>
      <c r="W105" s="11" cm="1">
        <f t="array" ref="W105">[1]!s_dq_close(W$6,$A105,1)</f>
        <v>506.28</v>
      </c>
      <c r="X105" s="11" cm="1">
        <f t="array" ref="X105">[1]!s_dq_close(X$6,$A105,1)</f>
        <v>2186.1999999999998</v>
      </c>
      <c r="Y105" s="11" cm="1">
        <f t="array" ref="Y105">[1]!s_dq_close(Y$6,$A105,1)</f>
        <v>77.849999999999994</v>
      </c>
      <c r="Z105" s="11" cm="1">
        <f t="array" ref="Z105">[1]!s_dq_close(Z$6,$A105,1)</f>
        <v>82.05</v>
      </c>
      <c r="AA105" s="12" cm="1">
        <f t="array" ref="AA105">[1]!s_dq_oi(AA$6,$A105)</f>
        <v>1604731</v>
      </c>
      <c r="AB105" s="12" cm="1">
        <f t="array" ref="AB105">[1]!s_dq_close(AB$6,$A105,1)</f>
        <v>3234</v>
      </c>
      <c r="AC105" s="12" cm="1">
        <f t="array" ref="AC105">[1]!s_dq_close(AC$6,$A105,1)</f>
        <v>3406.57</v>
      </c>
      <c r="AD105" s="12" cm="1">
        <f t="array" ref="AD105">[1]!s_dq_close(AD$6,$A105,1)</f>
        <v>3691</v>
      </c>
      <c r="AE105" s="12" cm="1">
        <f t="array" ref="AE105">[1]!s_dq_close(AE$6,$A105,1)</f>
        <v>3841</v>
      </c>
      <c r="AF105" s="12" cm="1">
        <f t="array" ref="AF105">[1]!s_dq_close(AF$6,$A105,1)</f>
        <v>877</v>
      </c>
      <c r="AG105" s="12">
        <f>[1]!s_dq_close($AG$6,$A105)</f>
        <v>-2585</v>
      </c>
      <c r="AH105" s="11">
        <f>[1]!s_dq_close($AH$6,A105)</f>
        <v>7.2008000000000001</v>
      </c>
    </row>
    <row r="106" spans="1:34">
      <c r="A106" s="5">
        <v>45354</v>
      </c>
      <c r="B106" s="6">
        <v>2.3675000000000002</v>
      </c>
      <c r="C106" s="6">
        <v>2.4876</v>
      </c>
      <c r="D106" s="6">
        <v>2.4140999999999999</v>
      </c>
      <c r="E106" s="6">
        <v>4.1900000000000004</v>
      </c>
      <c r="F106" s="6">
        <v>1.8389</v>
      </c>
      <c r="G106" s="6">
        <v>2.2972999999999999</v>
      </c>
      <c r="H106" s="6">
        <v>4.9400000000000004</v>
      </c>
      <c r="I106" s="6">
        <v>2.0964</v>
      </c>
      <c r="J106" s="10">
        <v>1.87</v>
      </c>
      <c r="K106" s="10">
        <v>213</v>
      </c>
      <c r="L106" s="10"/>
      <c r="M106" s="1" cm="1">
        <f t="array" ref="M106">[1]!s_val_pe_ttm(M$6,$A106)</f>
        <v>12.9348001480103</v>
      </c>
      <c r="N106" s="1" cm="1">
        <f t="array" ref="N106">[1]!s_val_pe_ttm(N$6,$A106)</f>
        <v>25.4976997375488</v>
      </c>
      <c r="O106" s="1" cm="1">
        <f t="array" ref="O106">[1]!s_val_pb_lf(O$6,$A106)</f>
        <v>1.2533999681472801</v>
      </c>
      <c r="P106" s="1" cm="1">
        <f t="array" ref="P106">[1]!s_val_pb_lf(P$6,$A106)</f>
        <v>4.6402001380920401</v>
      </c>
      <c r="Q106" s="1">
        <f>[1]!cb_anal_convpremiumratio($Q$6,A106-2)</f>
        <v>66.4194135531136</v>
      </c>
      <c r="S106" s="1">
        <f>[1]!cb_anal_straightbondpremiumratio($S$6,A106-3)</f>
        <v>0</v>
      </c>
      <c r="T106" s="9" cm="1">
        <f t="array" ref="T106">[1]!s_dq_close(T$6,$A106,1)</f>
        <v>13.11</v>
      </c>
      <c r="U106" s="9" cm="1">
        <f t="array" ref="U106">[1]!s_dq_close(U$6,$A106,1)</f>
        <v>7.1985000000000001</v>
      </c>
      <c r="V106" s="9" cm="1">
        <f t="array" ref="V106">[1]!s_dq_close(V$6,$A106,1)</f>
        <v>103.8849</v>
      </c>
      <c r="W106" s="11" cm="1">
        <f t="array" ref="W106">[1]!s_dq_close(W$6,$A106,1)</f>
        <v>483.8</v>
      </c>
      <c r="X106" s="11" cm="1">
        <f t="array" ref="X106">[1]!s_dq_close(X$6,$A106,1)</f>
        <v>2091.6</v>
      </c>
      <c r="Y106" s="11" cm="1">
        <f t="array" ref="Y106">[1]!s_dq_close(Y$6,$A106,1)</f>
        <v>79.81</v>
      </c>
      <c r="Z106" s="11" cm="1">
        <f t="array" ref="Z106">[1]!s_dq_close(Z$6,$A106,1)</f>
        <v>83.46</v>
      </c>
      <c r="AA106" s="12" cm="1">
        <f t="array" ref="AA106">[1]!s_dq_oi(AA$6,$A106)</f>
        <v>1649188</v>
      </c>
      <c r="AB106" s="12" cm="1">
        <f t="array" ref="AB106">[1]!s_dq_close(AB$6,$A106,1)</f>
        <v>3086</v>
      </c>
      <c r="AC106" s="12" cm="1">
        <f t="array" ref="AC106">[1]!s_dq_close(AC$6,$A106,1)</f>
        <v>3326.86</v>
      </c>
      <c r="AD106" s="12" cm="1">
        <f t="array" ref="AD106">[1]!s_dq_close(AD$6,$A106,1)</f>
        <v>3763</v>
      </c>
      <c r="AE106" s="12" cm="1">
        <f t="array" ref="AE106">[1]!s_dq_close(AE$6,$A106,1)</f>
        <v>3885</v>
      </c>
      <c r="AF106" s="12" cm="1">
        <f t="array" ref="AF106">[1]!s_dq_close(AF$6,$A106,1)</f>
        <v>871.5</v>
      </c>
      <c r="AG106" s="12">
        <f>[1]!s_dq_close($AG$6,$A106)</f>
        <v>-2658</v>
      </c>
      <c r="AH106" s="11">
        <f>[1]!s_dq_close($AH$6,A106)</f>
        <v>7.21</v>
      </c>
    </row>
    <row r="107" spans="1:34">
      <c r="A107" s="5">
        <v>45347</v>
      </c>
      <c r="B107" s="6">
        <v>2.4009</v>
      </c>
      <c r="C107" s="6">
        <v>2.5550999999999999</v>
      </c>
      <c r="D107" s="6">
        <v>2.4478</v>
      </c>
      <c r="E107" s="6">
        <v>4.26</v>
      </c>
      <c r="F107" s="6">
        <v>1.8839999999999999</v>
      </c>
      <c r="G107" s="6">
        <v>2.3043999999999998</v>
      </c>
      <c r="H107" s="6">
        <v>5</v>
      </c>
      <c r="I107" s="6">
        <v>2.0787</v>
      </c>
      <c r="J107" s="10">
        <v>1.96</v>
      </c>
      <c r="K107" s="10">
        <v>210.09</v>
      </c>
      <c r="L107" s="10"/>
      <c r="M107" s="1" cm="1">
        <f t="array" ref="M107">[1]!s_val_pe_ttm(M$6,$A107)</f>
        <v>12.8801002502441</v>
      </c>
      <c r="N107" s="1" cm="1">
        <f t="array" ref="N107">[1]!s_val_pe_ttm(N$6,$A107)</f>
        <v>25.923599243164102</v>
      </c>
      <c r="O107" s="1" cm="1">
        <f t="array" ref="O107">[1]!s_val_pb_lf(O$6,$A107)</f>
        <v>1.2489999532699601</v>
      </c>
      <c r="P107" s="1" cm="1">
        <f t="array" ref="P107">[1]!s_val_pb_lf(P$6,$A107)</f>
        <v>4.6234002113342303</v>
      </c>
      <c r="Q107" s="1">
        <f>[1]!cb_anal_convpremiumratio($Q$6,A107-2)</f>
        <v>70.735183639705895</v>
      </c>
      <c r="S107" s="1">
        <f>[1]!cb_anal_straightbondpremiumratio($S$6,A107-3)</f>
        <v>0</v>
      </c>
      <c r="T107" s="9" cm="1">
        <f t="array" ref="T107">[1]!s_dq_close(T$6,$A107,1)</f>
        <v>13.75</v>
      </c>
      <c r="U107" s="9" cm="1">
        <f t="array" ref="U107">[1]!s_dq_close(U$6,$A107,1)</f>
        <v>7.1984000000000004</v>
      </c>
      <c r="V107" s="9" cm="1">
        <f t="array" ref="V107">[1]!s_dq_close(V$6,$A107,1)</f>
        <v>103.9738</v>
      </c>
      <c r="W107" s="11" cm="1">
        <f t="array" ref="W107">[1]!s_dq_close(W$6,$A107,1)</f>
        <v>478.96</v>
      </c>
      <c r="X107" s="11" cm="1">
        <f t="array" ref="X107">[1]!s_dq_close(X$6,$A107,1)</f>
        <v>2045.8</v>
      </c>
      <c r="Y107" s="11" cm="1">
        <f t="array" ref="Y107">[1]!s_dq_close(Y$6,$A107,1)</f>
        <v>76.569999999999993</v>
      </c>
      <c r="Z107" s="11" cm="1">
        <f t="array" ref="Z107">[1]!s_dq_close(Z$6,$A107,1)</f>
        <v>80.75</v>
      </c>
      <c r="AA107" s="12" cm="1">
        <f t="array" ref="AA107">[1]!s_dq_oi(AA$6,$A107)</f>
        <v>1642896</v>
      </c>
      <c r="AB107" s="12" cm="1">
        <f t="array" ref="AB107">[1]!s_dq_close(AB$6,$A107,1)</f>
        <v>2996</v>
      </c>
      <c r="AC107" s="12" cm="1">
        <f t="array" ref="AC107">[1]!s_dq_close(AC$6,$A107,1)</f>
        <v>3389.71</v>
      </c>
      <c r="AD107" s="12" cm="1">
        <f t="array" ref="AD107">[1]!s_dq_close(AD$6,$A107,1)</f>
        <v>3790</v>
      </c>
      <c r="AE107" s="12" cm="1">
        <f t="array" ref="AE107">[1]!s_dq_close(AE$6,$A107,1)</f>
        <v>3905</v>
      </c>
      <c r="AF107" s="12" cm="1">
        <f t="array" ref="AF107">[1]!s_dq_close(AF$6,$A107,1)</f>
        <v>899</v>
      </c>
      <c r="AG107" s="12">
        <f>[1]!s_dq_close($AG$6,$A107)</f>
        <v>-2680</v>
      </c>
      <c r="AH107" s="11">
        <f>[1]!s_dq_close($AH$6,A107)</f>
        <v>7.2057000000000002</v>
      </c>
    </row>
    <row r="108" spans="1:34">
      <c r="A108" s="5">
        <v>45340</v>
      </c>
      <c r="B108" s="6">
        <v>2.4392999999999998</v>
      </c>
      <c r="C108" s="6">
        <v>2.6051000000000002</v>
      </c>
      <c r="D108" s="6">
        <v>2.4990000000000001</v>
      </c>
      <c r="E108" s="6">
        <v>4.3</v>
      </c>
      <c r="F108" s="6">
        <v>2.0552999999999999</v>
      </c>
      <c r="G108" s="6">
        <v>2.3915999999999999</v>
      </c>
      <c r="H108" s="6">
        <v>4.9800000000000004</v>
      </c>
      <c r="I108" s="6">
        <v>2.1522000000000001</v>
      </c>
      <c r="J108" s="10">
        <v>1.97</v>
      </c>
      <c r="K108" s="10">
        <v>0</v>
      </c>
      <c r="L108" s="10"/>
      <c r="M108" s="1" cm="1">
        <f t="array" ref="M108">[1]!s_val_pe_ttm(M$6,$A108)</f>
        <v>12.262499809265099</v>
      </c>
      <c r="N108" s="1" cm="1">
        <f t="array" ref="N108">[1]!s_val_pe_ttm(N$6,$A108)</f>
        <v>25.552799224853501</v>
      </c>
      <c r="O108" s="1" cm="1">
        <f t="array" ref="O108">[1]!s_val_pb_lf(O$6,$A108)</f>
        <v>1.1907000541687001</v>
      </c>
      <c r="P108" s="1" cm="1">
        <f t="array" ref="P108">[1]!s_val_pb_lf(P$6,$A108)</f>
        <v>4.5563998222351101</v>
      </c>
      <c r="Q108" s="1">
        <f>[1]!cb_anal_convpremiumratio($Q$6,A108-2)</f>
        <v>0</v>
      </c>
      <c r="S108" s="1">
        <f>[1]!cb_anal_straightbondpremiumratio($S$6,A108-3)</f>
        <v>0</v>
      </c>
      <c r="T108" s="9" cm="1">
        <f t="array" ref="T108">[1]!s_dq_close(T$6,$A108,1)</f>
        <v>14.71</v>
      </c>
      <c r="U108" s="9" cm="1">
        <f t="array" ref="U108">[1]!s_dq_close(U$6,$A108,1)</f>
        <v>7.1927000000000003</v>
      </c>
      <c r="V108" s="9" cm="1">
        <f t="array" ref="V108">[1]!s_dq_close(V$6,$A108,1)</f>
        <v>104.2766</v>
      </c>
      <c r="W108" s="11" cm="1">
        <f t="array" ref="W108">[1]!s_dq_close(W$6,$A108,1)</f>
        <v>483.54</v>
      </c>
      <c r="X108" s="11" cm="1">
        <f t="array" ref="X108">[1]!s_dq_close(X$6,$A108,1)</f>
        <v>2025.5</v>
      </c>
      <c r="Y108" s="11" cm="1">
        <f t="array" ref="Y108">[1]!s_dq_close(Y$6,$A108,1)</f>
        <v>78.239999999999995</v>
      </c>
      <c r="Z108" s="11" cm="1">
        <f t="array" ref="Z108">[1]!s_dq_close(Z$6,$A108,1)</f>
        <v>83.58</v>
      </c>
      <c r="AA108" s="12" cm="1">
        <f t="array" ref="AA108">[1]!s_dq_oi(AA$6,$A108)</f>
        <v>1412964</v>
      </c>
      <c r="AB108" s="12" cm="1">
        <f t="array" ref="AB108">[1]!s_dq_close(AB$6,$A108,1)</f>
        <v>3007</v>
      </c>
      <c r="AC108" s="12" cm="1">
        <f t="array" ref="AC108">[1]!s_dq_close(AC$6,$A108,1)</f>
        <v>3446.86</v>
      </c>
      <c r="AD108" s="12" cm="1">
        <f t="array" ref="AD108">[1]!s_dq_close(AD$6,$A108,1)</f>
        <v>3854</v>
      </c>
      <c r="AE108" s="12" cm="1">
        <f t="array" ref="AE108">[1]!s_dq_close(AE$6,$A108,1)</f>
        <v>3984</v>
      </c>
      <c r="AF108" s="12" cm="1">
        <f t="array" ref="AF108">[1]!s_dq_close(AF$6,$A108,1)</f>
        <v>963.5</v>
      </c>
      <c r="AG108" s="12">
        <f>[1]!s_dq_close($AG$6,$A108)</f>
        <v>-2525</v>
      </c>
      <c r="AH108" s="11">
        <f>[1]!s_dq_close($AH$6,A108)</f>
        <v>7.2126999999999999</v>
      </c>
    </row>
    <row r="109" spans="1:34">
      <c r="A109" s="5">
        <v>45333</v>
      </c>
      <c r="B109" s="6">
        <v>2.4302000000000001</v>
      </c>
      <c r="C109" s="6">
        <v>2.6051000000000002</v>
      </c>
      <c r="D109" s="6">
        <v>2.4973000000000001</v>
      </c>
      <c r="E109" s="6">
        <v>4.17</v>
      </c>
      <c r="F109" s="6">
        <v>2.0539999999999998</v>
      </c>
      <c r="G109" s="6">
        <v>2.3969</v>
      </c>
      <c r="H109" s="6">
        <v>4.8600000000000003</v>
      </c>
      <c r="I109" s="6">
        <v>2.1496</v>
      </c>
      <c r="J109" s="10">
        <v>1.92</v>
      </c>
      <c r="K109" s="10">
        <v>206.99</v>
      </c>
      <c r="L109" s="10"/>
      <c r="M109" s="1" cm="1">
        <f t="array" ref="M109">[1]!s_val_pe_ttm(M$6,$A109)</f>
        <v>12.262499809265099</v>
      </c>
      <c r="N109" s="1" cm="1">
        <f t="array" ref="N109">[1]!s_val_pe_ttm(N$6,$A109)</f>
        <v>25.6798992156982</v>
      </c>
      <c r="O109" s="1" cm="1">
        <f t="array" ref="O109">[1]!s_val_pb_lf(O$6,$A109)</f>
        <v>1.1907000541687001</v>
      </c>
      <c r="P109" s="1" cm="1">
        <f t="array" ref="P109">[1]!s_val_pb_lf(P$6,$A109)</f>
        <v>4.5921998023986799</v>
      </c>
      <c r="Q109" s="1">
        <f>[1]!cb_anal_convpremiumratio($Q$6,A109-2)</f>
        <v>0</v>
      </c>
      <c r="S109" s="1">
        <f>[1]!cb_anal_straightbondpremiumratio($S$6,A109-3)</f>
        <v>0</v>
      </c>
      <c r="T109" s="9" cm="1">
        <f t="array" ref="T109">[1]!s_dq_close(T$6,$A109,1)</f>
        <v>12.93</v>
      </c>
      <c r="U109" s="9" cm="1">
        <f t="array" ref="U109">[1]!s_dq_close(U$6,$A109,1)</f>
        <v>7.1927000000000003</v>
      </c>
      <c r="V109" s="9" cm="1">
        <f t="array" ref="V109">[1]!s_dq_close(V$6,$A109,1)</f>
        <v>104.0736</v>
      </c>
      <c r="W109" s="11" cm="1">
        <f t="array" ref="W109">[1]!s_dq_close(W$6,$A109,1)</f>
        <v>483.54</v>
      </c>
      <c r="X109" s="11" cm="1">
        <f t="array" ref="X109">[1]!s_dq_close(X$6,$A109,1)</f>
        <v>2038.7</v>
      </c>
      <c r="Y109" s="11" cm="1">
        <f t="array" ref="Y109">[1]!s_dq_close(Y$6,$A109,1)</f>
        <v>76.599999999999994</v>
      </c>
      <c r="Z109" s="11" cm="1">
        <f t="array" ref="Z109">[1]!s_dq_close(Z$6,$A109,1)</f>
        <v>81.86</v>
      </c>
      <c r="AA109" s="12" cm="1">
        <f t="array" ref="AA109">[1]!s_dq_oi(AA$6,$A109)</f>
        <v>1412964</v>
      </c>
      <c r="AB109" s="12" cm="1">
        <f t="array" ref="AB109">[1]!s_dq_close(AB$6,$A109,1)</f>
        <v>3007</v>
      </c>
      <c r="AC109" s="12" cm="1">
        <f t="array" ref="AC109">[1]!s_dq_close(AC$6,$A109,1)</f>
        <v>3454.86</v>
      </c>
      <c r="AD109" s="12" cm="1">
        <f t="array" ref="AD109">[1]!s_dq_close(AD$6,$A109,1)</f>
        <v>3854</v>
      </c>
      <c r="AE109" s="12" cm="1">
        <f t="array" ref="AE109">[1]!s_dq_close(AE$6,$A109,1)</f>
        <v>3984</v>
      </c>
      <c r="AF109" s="12" cm="1">
        <f t="array" ref="AF109">[1]!s_dq_close(AF$6,$A109,1)</f>
        <v>963.5</v>
      </c>
      <c r="AG109" s="12">
        <f>[1]!s_dq_close($AG$6,$A109)</f>
        <v>-2525</v>
      </c>
      <c r="AH109" s="11">
        <f>[1]!s_dq_close($AH$6,A109)</f>
        <v>7.2187999999999999</v>
      </c>
    </row>
    <row r="110" spans="1:34">
      <c r="A110" s="5">
        <v>45326</v>
      </c>
      <c r="B110" s="6">
        <v>2.4053</v>
      </c>
      <c r="C110" s="6">
        <v>2.5741000000000001</v>
      </c>
      <c r="D110" s="6">
        <v>2.5287000000000002</v>
      </c>
      <c r="E110" s="6">
        <v>4.03</v>
      </c>
      <c r="F110" s="6">
        <v>2.0834999999999999</v>
      </c>
      <c r="G110" s="6">
        <v>2.4245999999999999</v>
      </c>
      <c r="H110" s="6">
        <v>4.8099999999999996</v>
      </c>
      <c r="I110" s="6">
        <v>2.1110000000000002</v>
      </c>
      <c r="J110" s="10">
        <v>1.82</v>
      </c>
      <c r="K110" s="10">
        <v>201.66</v>
      </c>
      <c r="L110" s="10"/>
      <c r="M110" s="1" cm="1">
        <f t="array" ref="M110">[1]!s_val_pe_ttm(M$6,$A110)</f>
        <v>11.748200416564901</v>
      </c>
      <c r="N110" s="1" cm="1">
        <f t="array" ref="N110">[1]!s_val_pe_ttm(N$6,$A110)</f>
        <v>25.316099166870099</v>
      </c>
      <c r="O110" s="1" cm="1">
        <f t="array" ref="O110">[1]!s_val_pb_lf(O$6,$A110)</f>
        <v>1.1411000490188601</v>
      </c>
      <c r="P110" s="1" cm="1">
        <f t="array" ref="P110">[1]!s_val_pb_lf(P$6,$A110)</f>
        <v>4.52699995040894</v>
      </c>
      <c r="Q110" s="1">
        <f>[1]!cb_anal_convpremiumratio($Q$6,A110-2)</f>
        <v>81.441158241758103</v>
      </c>
      <c r="S110" s="1">
        <f>[1]!cb_anal_straightbondpremiumratio($S$6,A110-3)</f>
        <v>0</v>
      </c>
      <c r="T110" s="9" cm="1">
        <f t="array" ref="T110">[1]!s_dq_close(T$6,$A110,1)</f>
        <v>13.85</v>
      </c>
      <c r="U110" s="9" cm="1">
        <f t="array" ref="U110">[1]!s_dq_close(U$6,$A110,1)</f>
        <v>7.1792999999999996</v>
      </c>
      <c r="V110" s="9" cm="1">
        <f t="array" ref="V110">[1]!s_dq_close(V$6,$A110,1)</f>
        <v>103.96550000000001</v>
      </c>
      <c r="W110" s="11" cm="1">
        <f t="array" ref="W110">[1]!s_dq_close(W$6,$A110,1)</f>
        <v>484.82</v>
      </c>
      <c r="X110" s="11" cm="1">
        <f t="array" ref="X110">[1]!s_dq_close(X$6,$A110,1)</f>
        <v>2057.1</v>
      </c>
      <c r="Y110" s="11" cm="1">
        <f t="array" ref="Y110">[1]!s_dq_close(Y$6,$A110,1)</f>
        <v>72.41</v>
      </c>
      <c r="Z110" s="11" cm="1">
        <f t="array" ref="Z110">[1]!s_dq_close(Z$6,$A110,1)</f>
        <v>77.67</v>
      </c>
      <c r="AA110" s="12" cm="1">
        <f t="array" ref="AA110">[1]!s_dq_oi(AA$6,$A110)</f>
        <v>1547703</v>
      </c>
      <c r="AB110" s="12" cm="1">
        <f t="array" ref="AB110">[1]!s_dq_close(AB$6,$A110,1)</f>
        <v>2997</v>
      </c>
      <c r="AC110" s="12" cm="1">
        <f t="array" ref="AC110">[1]!s_dq_close(AC$6,$A110,1)</f>
        <v>3458.86</v>
      </c>
      <c r="AD110" s="12" cm="1">
        <f t="array" ref="AD110">[1]!s_dq_close(AD$6,$A110,1)</f>
        <v>3825</v>
      </c>
      <c r="AE110" s="12" cm="1">
        <f t="array" ref="AE110">[1]!s_dq_close(AE$6,$A110,1)</f>
        <v>3967</v>
      </c>
      <c r="AF110" s="12" cm="1">
        <f t="array" ref="AF110">[1]!s_dq_close(AF$6,$A110,1)</f>
        <v>941</v>
      </c>
      <c r="AG110" s="12">
        <f>[1]!s_dq_close($AG$6,$A110)</f>
        <v>-2470</v>
      </c>
      <c r="AH110" s="11">
        <f>[1]!s_dq_close($AH$6,A110)</f>
        <v>7.2161</v>
      </c>
    </row>
    <row r="111" spans="1:34">
      <c r="A111" s="5">
        <v>45319</v>
      </c>
      <c r="B111" s="6">
        <v>2.4994000000000001</v>
      </c>
      <c r="C111" s="6">
        <v>2.6475</v>
      </c>
      <c r="D111" s="6">
        <v>2.6236000000000002</v>
      </c>
      <c r="E111" s="6">
        <v>4.1500000000000004</v>
      </c>
      <c r="F111" s="6">
        <v>2.1783999999999999</v>
      </c>
      <c r="G111" s="6">
        <v>2.5099999999999998</v>
      </c>
      <c r="H111" s="6">
        <v>4.78</v>
      </c>
      <c r="I111" s="6">
        <v>2.1888999999999998</v>
      </c>
      <c r="J111" s="10">
        <v>1.85</v>
      </c>
      <c r="K111" s="10">
        <v>0</v>
      </c>
      <c r="L111" s="10"/>
      <c r="M111" s="1" cm="1">
        <f t="array" ref="M111">[1]!s_val_pe_ttm(M$6,$A111)</f>
        <v>12.406999588012701</v>
      </c>
      <c r="N111" s="1" cm="1">
        <f t="array" ref="N111">[1]!s_val_pe_ttm(N$6,$A111)</f>
        <v>25.405799865722699</v>
      </c>
      <c r="O111" s="1" cm="1">
        <f t="array" ref="O111">[1]!s_val_pb_lf(O$6,$A111)</f>
        <v>1.20500004291534</v>
      </c>
      <c r="P111" s="1" cm="1">
        <f t="array" ref="P111">[1]!s_val_pb_lf(P$6,$A111)</f>
        <v>4.5345001220703098</v>
      </c>
      <c r="Q111" s="1">
        <f>[1]!cb_anal_convpremiumratio($Q$6,A111-2)</f>
        <v>60.090908022388</v>
      </c>
      <c r="S111" s="1">
        <f>[1]!cb_anal_straightbondpremiumratio($S$6,A111-3)</f>
        <v>0</v>
      </c>
      <c r="T111" s="9" cm="1">
        <f t="array" ref="T111">[1]!s_dq_close(T$6,$A111,1)</f>
        <v>13.26</v>
      </c>
      <c r="U111" s="9" cm="1">
        <f t="array" ref="U111">[1]!s_dq_close(U$6,$A111,1)</f>
        <v>7.1807999999999996</v>
      </c>
      <c r="V111" s="9" cm="1">
        <f t="array" ref="V111">[1]!s_dq_close(V$6,$A111,1)</f>
        <v>103.4744</v>
      </c>
      <c r="W111" s="11" cm="1">
        <f t="array" ref="W111">[1]!s_dq_close(W$6,$A111,1)</f>
        <v>478.72</v>
      </c>
      <c r="X111" s="11" cm="1">
        <f t="array" ref="X111">[1]!s_dq_close(X$6,$A111,1)</f>
        <v>2018.2</v>
      </c>
      <c r="Y111" s="11" cm="1">
        <f t="array" ref="Y111">[1]!s_dq_close(Y$6,$A111,1)</f>
        <v>78.23</v>
      </c>
      <c r="Z111" s="11" cm="1">
        <f t="array" ref="Z111">[1]!s_dq_close(Z$6,$A111,1)</f>
        <v>83.02</v>
      </c>
      <c r="AA111" s="12" cm="1">
        <f t="array" ref="AA111">[1]!s_dq_oi(AA$6,$A111)</f>
        <v>1708447</v>
      </c>
      <c r="AB111" s="12" cm="1">
        <f t="array" ref="AB111">[1]!s_dq_close(AB$6,$A111,1)</f>
        <v>3007</v>
      </c>
      <c r="AC111" s="12" cm="1">
        <f t="array" ref="AC111">[1]!s_dq_close(AC$6,$A111,1)</f>
        <v>3486.86</v>
      </c>
      <c r="AD111" s="12" cm="1">
        <f t="array" ref="AD111">[1]!s_dq_close(AD$6,$A111,1)</f>
        <v>3973</v>
      </c>
      <c r="AE111" s="12" cm="1">
        <f t="array" ref="AE111">[1]!s_dq_close(AE$6,$A111,1)</f>
        <v>4102</v>
      </c>
      <c r="AF111" s="12" cm="1">
        <f t="array" ref="AF111">[1]!s_dq_close(AF$6,$A111,1)</f>
        <v>989.5</v>
      </c>
      <c r="AG111" s="12">
        <f>[1]!s_dq_close($AG$6,$A111)</f>
        <v>-2446</v>
      </c>
      <c r="AH111" s="11">
        <f>[1]!s_dq_close($AH$6,A111)</f>
        <v>7.1885000000000003</v>
      </c>
    </row>
    <row r="112" spans="1:34">
      <c r="A112" s="5">
        <v>45312</v>
      </c>
      <c r="B112" s="6">
        <v>2.5026999999999999</v>
      </c>
      <c r="C112" s="6">
        <v>2.6349999999999998</v>
      </c>
      <c r="D112" s="6">
        <v>2.645</v>
      </c>
      <c r="E112" s="6">
        <v>4.1500000000000004</v>
      </c>
      <c r="F112" s="6">
        <v>2.1854</v>
      </c>
      <c r="G112" s="6">
        <v>2.5228000000000002</v>
      </c>
      <c r="H112" s="6">
        <v>4.84</v>
      </c>
      <c r="I112" s="6">
        <v>2.2391999999999999</v>
      </c>
      <c r="J112" s="10">
        <v>1.81</v>
      </c>
      <c r="K112" s="10">
        <v>209.39</v>
      </c>
      <c r="L112" s="10"/>
      <c r="M112" s="1" cm="1">
        <f t="array" ref="M112">[1]!s_val_pe_ttm(M$6,$A112)</f>
        <v>12.0153999328613</v>
      </c>
      <c r="N112" s="1" cm="1">
        <f t="array" ref="N112">[1]!s_val_pe_ttm(N$6,$A112)</f>
        <v>25.424200057983398</v>
      </c>
      <c r="O112" s="1" cm="1">
        <f t="array" ref="O112">[1]!s_val_pb_lf(O$6,$A112)</f>
        <v>1.1677000522613501</v>
      </c>
      <c r="P112" s="1" cm="1">
        <f t="array" ref="P112">[1]!s_val_pb_lf(P$6,$A112)</f>
        <v>4.4862999916076696</v>
      </c>
      <c r="Q112" s="1">
        <f>[1]!cb_anal_convpremiumratio($Q$6,A112-2)</f>
        <v>57.130585687732399</v>
      </c>
      <c r="S112" s="1">
        <f>[1]!cb_anal_straightbondpremiumratio($S$6,A112-3)</f>
        <v>0</v>
      </c>
      <c r="T112" s="9" cm="1">
        <f t="array" ref="T112">[1]!s_dq_close(T$6,$A112,1)</f>
        <v>13.3</v>
      </c>
      <c r="U112" s="9" cm="1">
        <f t="array" ref="U112">[1]!s_dq_close(U$6,$A112,1)</f>
        <v>7.1938000000000004</v>
      </c>
      <c r="V112" s="9" cm="1">
        <f t="array" ref="V112">[1]!s_dq_close(V$6,$A112,1)</f>
        <v>103.2317</v>
      </c>
      <c r="W112" s="11" cm="1">
        <f t="array" ref="W112">[1]!s_dq_close(W$6,$A112,1)</f>
        <v>480.36</v>
      </c>
      <c r="X112" s="11" cm="1">
        <f t="array" ref="X112">[1]!s_dq_close(X$6,$A112,1)</f>
        <v>2031.8</v>
      </c>
      <c r="Y112" s="11" cm="1">
        <f t="array" ref="Y112">[1]!s_dq_close(Y$6,$A112,1)</f>
        <v>73.430000000000007</v>
      </c>
      <c r="Z112" s="11" cm="1">
        <f t="array" ref="Z112">[1]!s_dq_close(Z$6,$A112,1)</f>
        <v>78.63</v>
      </c>
      <c r="AA112" s="12" cm="1">
        <f t="array" ref="AA112">[1]!s_dq_oi(AA$6,$A112)</f>
        <v>1646722</v>
      </c>
      <c r="AB112" s="12" cm="1">
        <f t="array" ref="AB112">[1]!s_dq_close(AB$6,$A112,1)</f>
        <v>3037</v>
      </c>
      <c r="AC112" s="12" cm="1">
        <f t="array" ref="AC112">[1]!s_dq_close(AC$6,$A112,1)</f>
        <v>3540.86</v>
      </c>
      <c r="AD112" s="12" cm="1">
        <f t="array" ref="AD112">[1]!s_dq_close(AD$6,$A112,1)</f>
        <v>3915</v>
      </c>
      <c r="AE112" s="12" cm="1">
        <f t="array" ref="AE112">[1]!s_dq_close(AE$6,$A112,1)</f>
        <v>4032</v>
      </c>
      <c r="AF112" s="12" cm="1">
        <f t="array" ref="AF112">[1]!s_dq_close(AF$6,$A112,1)</f>
        <v>957</v>
      </c>
      <c r="AG112" s="12">
        <f>[1]!s_dq_close($AG$6,$A112)</f>
        <v>-2465</v>
      </c>
      <c r="AH112" s="11">
        <f>[1]!s_dq_close($AH$6,A112)</f>
        <v>7.2035</v>
      </c>
    </row>
    <row r="113" spans="1:34">
      <c r="A113" s="5">
        <v>45305</v>
      </c>
      <c r="B113" s="6">
        <v>2.5171999999999999</v>
      </c>
      <c r="C113" s="6">
        <v>2.65</v>
      </c>
      <c r="D113" s="6">
        <v>2.6524999999999999</v>
      </c>
      <c r="E113" s="6">
        <v>3.96</v>
      </c>
      <c r="F113" s="6">
        <v>2.2189999999999999</v>
      </c>
      <c r="G113" s="6">
        <v>2.5242</v>
      </c>
      <c r="H113" s="6">
        <v>4.6500000000000004</v>
      </c>
      <c r="I113" s="6">
        <v>2.2427999999999999</v>
      </c>
      <c r="J113" s="10">
        <v>1.69</v>
      </c>
      <c r="K113" s="10">
        <v>201.92</v>
      </c>
      <c r="L113" s="10"/>
      <c r="M113" s="1" cm="1">
        <f t="array" ref="M113">[1]!s_val_pe_ttm(M$6,$A113)</f>
        <v>12.1859998703003</v>
      </c>
      <c r="N113" s="1" cm="1">
        <f t="array" ref="N113">[1]!s_val_pe_ttm(N$6,$A113)</f>
        <v>24.940900802612301</v>
      </c>
      <c r="O113" s="1" cm="1">
        <f t="array" ref="O113">[1]!s_val_pb_lf(O$6,$A113)</f>
        <v>1.1863000392913801</v>
      </c>
      <c r="P113" s="1" cm="1">
        <f t="array" ref="P113">[1]!s_val_pb_lf(P$6,$A113)</f>
        <v>4.44570016860962</v>
      </c>
      <c r="Q113" s="1">
        <f>[1]!cb_anal_convpremiumratio($Q$6,A113-2)</f>
        <v>52.509992764378502</v>
      </c>
      <c r="S113" s="1">
        <f>[1]!cb_anal_straightbondpremiumratio($S$6,A113-3)</f>
        <v>0</v>
      </c>
      <c r="T113" s="9" cm="1">
        <f t="array" ref="T113">[1]!s_dq_close(T$6,$A113,1)</f>
        <v>12.7</v>
      </c>
      <c r="U113" s="9" cm="1">
        <f t="array" ref="U113">[1]!s_dq_close(U$6,$A113,1)</f>
        <v>7.1622000000000003</v>
      </c>
      <c r="V113" s="9" cm="1">
        <f t="array" ref="V113">[1]!s_dq_close(V$6,$A113,1)</f>
        <v>102.44029999999999</v>
      </c>
      <c r="W113" s="11" cm="1">
        <f t="array" ref="W113">[1]!s_dq_close(W$6,$A113,1)</f>
        <v>480.78</v>
      </c>
      <c r="X113" s="11" cm="1">
        <f t="array" ref="X113">[1]!s_dq_close(X$6,$A113,1)</f>
        <v>2053.6</v>
      </c>
      <c r="Y113" s="11" cm="1">
        <f t="array" ref="Y113">[1]!s_dq_close(Y$6,$A113,1)</f>
        <v>72.760000000000005</v>
      </c>
      <c r="Z113" s="11" cm="1">
        <f t="array" ref="Z113">[1]!s_dq_close(Z$6,$A113,1)</f>
        <v>78.319999999999993</v>
      </c>
      <c r="AA113" s="12" cm="1">
        <f t="array" ref="AA113">[1]!s_dq_oi(AA$6,$A113)</f>
        <v>1591570</v>
      </c>
      <c r="AB113" s="12" cm="1">
        <f t="array" ref="AB113">[1]!s_dq_close(AB$6,$A113,1)</f>
        <v>3078</v>
      </c>
      <c r="AC113" s="12" cm="1">
        <f t="array" ref="AC113">[1]!s_dq_close(AC$6,$A113,1)</f>
        <v>3698.57</v>
      </c>
      <c r="AD113" s="12" cm="1">
        <f t="array" ref="AD113">[1]!s_dq_close(AD$6,$A113,1)</f>
        <v>3902</v>
      </c>
      <c r="AE113" s="12" cm="1">
        <f t="array" ref="AE113">[1]!s_dq_close(AE$6,$A113,1)</f>
        <v>4026</v>
      </c>
      <c r="AF113" s="12" cm="1">
        <f t="array" ref="AF113">[1]!s_dq_close(AF$6,$A113,1)</f>
        <v>948.5</v>
      </c>
      <c r="AG113" s="12">
        <f>[1]!s_dq_close($AG$6,$A113)</f>
        <v>-2412</v>
      </c>
      <c r="AH113" s="11">
        <f>[1]!s_dq_close($AH$6,A113)</f>
        <v>7.1897000000000002</v>
      </c>
    </row>
    <row r="114" spans="1:34">
      <c r="A114" s="5">
        <v>45298</v>
      </c>
      <c r="B114" s="6">
        <v>2.5175000000000001</v>
      </c>
      <c r="C114" s="6">
        <v>2.6991999999999998</v>
      </c>
      <c r="D114" s="6">
        <v>2.6549999999999998</v>
      </c>
      <c r="E114" s="6">
        <v>4.05</v>
      </c>
      <c r="F114" s="6">
        <v>2.2427000000000001</v>
      </c>
      <c r="G114" s="6">
        <v>2.5396999999999998</v>
      </c>
      <c r="H114" s="6">
        <v>4.84</v>
      </c>
      <c r="I114" s="6">
        <v>2.2368999999999999</v>
      </c>
      <c r="J114" s="10">
        <v>1.83</v>
      </c>
      <c r="K114" s="10">
        <v>0</v>
      </c>
      <c r="L114" s="10"/>
      <c r="M114" s="1" cm="1">
        <f t="array" ref="M114">[1]!s_val_pe_ttm(M$6,$A114)</f>
        <v>12.391599655151399</v>
      </c>
      <c r="N114" s="1" cm="1">
        <f t="array" ref="N114">[1]!s_val_pe_ttm(N$6,$A114)</f>
        <v>24.368000030517599</v>
      </c>
      <c r="O114" s="1" cm="1">
        <f t="array" ref="O114">[1]!s_val_pb_lf(O$6,$A114)</f>
        <v>1.20589995384216</v>
      </c>
      <c r="P114" s="1" cm="1">
        <f t="array" ref="P114">[1]!s_val_pb_lf(P$6,$A114)</f>
        <v>4.3653998374939</v>
      </c>
      <c r="Q114" s="1">
        <f>[1]!cb_anal_convpremiumratio($Q$6,A114-2)</f>
        <v>51.253794434137298</v>
      </c>
      <c r="S114" s="1">
        <f>[1]!cb_anal_straightbondpremiumratio($S$6,A114-3)</f>
        <v>0</v>
      </c>
      <c r="T114" s="9" cm="1">
        <f t="array" ref="T114">[1]!s_dq_close(T$6,$A114,1)</f>
        <v>13.35</v>
      </c>
      <c r="U114" s="9" cm="1">
        <f t="array" ref="U114">[1]!s_dq_close(U$6,$A114,1)</f>
        <v>7.1566000000000001</v>
      </c>
      <c r="V114" s="9" cm="1">
        <f t="array" ref="V114">[1]!s_dq_close(V$6,$A114,1)</f>
        <v>102.4395</v>
      </c>
      <c r="W114" s="11" cm="1">
        <f t="array" ref="W114">[1]!s_dq_close(W$6,$A114,1)</f>
        <v>482.38</v>
      </c>
      <c r="X114" s="11" cm="1">
        <f t="array" ref="X114">[1]!s_dq_close(X$6,$A114,1)</f>
        <v>2052.6</v>
      </c>
      <c r="Y114" s="11" cm="1">
        <f t="array" ref="Y114">[1]!s_dq_close(Y$6,$A114,1)</f>
        <v>73.95</v>
      </c>
      <c r="Z114" s="11" cm="1">
        <f t="array" ref="Z114">[1]!s_dq_close(Z$6,$A114,1)</f>
        <v>78.900000000000006</v>
      </c>
      <c r="AA114" s="12" cm="1">
        <f t="array" ref="AA114">[1]!s_dq_oi(AA$6,$A114)</f>
        <v>1441603</v>
      </c>
      <c r="AB114" s="12" cm="1">
        <f t="array" ref="AB114">[1]!s_dq_close(AB$6,$A114,1)</f>
        <v>3205</v>
      </c>
      <c r="AC114" s="12" cm="1">
        <f t="array" ref="AC114">[1]!s_dq_close(AC$6,$A114,1)</f>
        <v>3882.86</v>
      </c>
      <c r="AD114" s="12" cm="1">
        <f t="array" ref="AD114">[1]!s_dq_close(AD$6,$A114,1)</f>
        <v>3979</v>
      </c>
      <c r="AE114" s="12" cm="1">
        <f t="array" ref="AE114">[1]!s_dq_close(AE$6,$A114,1)</f>
        <v>4079</v>
      </c>
      <c r="AF114" s="12" cm="1">
        <f t="array" ref="AF114">[1]!s_dq_close(AF$6,$A114,1)</f>
        <v>1000</v>
      </c>
      <c r="AG114" s="12">
        <f>[1]!s_dq_close($AG$6,$A114)</f>
        <v>-2525</v>
      </c>
      <c r="AH114" s="11">
        <f>[1]!s_dq_close($AH$6,A114)</f>
        <v>7.1657000000000002</v>
      </c>
    </row>
    <row r="115" spans="1:34">
      <c r="A115" s="5">
        <v>45291</v>
      </c>
      <c r="B115" s="6">
        <v>2.5552999999999999</v>
      </c>
      <c r="C115" s="6">
        <v>2.6796000000000002</v>
      </c>
      <c r="D115" s="6">
        <v>2.6646000000000001</v>
      </c>
      <c r="E115" s="6">
        <v>3.88</v>
      </c>
      <c r="F115" s="6">
        <v>2.1993</v>
      </c>
      <c r="G115" s="6">
        <v>2.5226999999999999</v>
      </c>
      <c r="H115" s="6">
        <v>4.79</v>
      </c>
      <c r="I115" s="6">
        <v>2.2098</v>
      </c>
      <c r="J115" s="10">
        <v>1.72</v>
      </c>
      <c r="K115" s="10">
        <v>166.61</v>
      </c>
      <c r="L115" s="10"/>
      <c r="M115" s="1" cm="1">
        <f t="array" ref="M115">[1]!s_val_pe_ttm(M$6,$A115)</f>
        <v>12.538399696350099</v>
      </c>
      <c r="N115" s="1" cm="1">
        <f t="array" ref="N115">[1]!s_val_pe_ttm(N$6,$A115)</f>
        <v>24.839799880981399</v>
      </c>
      <c r="O115" s="1" cm="1">
        <f t="array" ref="O115">[1]!s_val_pb_lf(O$6,$A115)</f>
        <v>1.2204999923706099</v>
      </c>
      <c r="P115" s="1" cm="1">
        <f t="array" ref="P115">[1]!s_val_pb_lf(P$6,$A115)</f>
        <v>4.4404997825622603</v>
      </c>
      <c r="Q115" s="1">
        <f>[1]!cb_anal_convpremiumratio($Q$6,A115-2)</f>
        <v>49.674085741088199</v>
      </c>
      <c r="S115" s="1">
        <f>[1]!cb_anal_straightbondpremiumratio($S$6,A115-3)</f>
        <v>0</v>
      </c>
      <c r="T115" s="9" cm="1">
        <f t="array" ref="T115">[1]!s_dq_close(T$6,$A115,1)</f>
        <v>12.45</v>
      </c>
      <c r="U115" s="9" cm="1">
        <f t="array" ref="U115">[1]!s_dq_close(U$6,$A115,1)</f>
        <v>7.0919999999999996</v>
      </c>
      <c r="V115" s="9" cm="1">
        <f t="array" ref="V115">[1]!s_dq_close(V$6,$A115,1)</f>
        <v>101.37779999999999</v>
      </c>
      <c r="W115" s="11" cm="1">
        <f t="array" ref="W115">[1]!s_dq_close(W$6,$A115,1)</f>
        <v>481.7</v>
      </c>
      <c r="X115" s="11" cm="1">
        <f t="array" ref="X115">[1]!s_dq_close(X$6,$A115,1)</f>
        <v>2071.8000000000002</v>
      </c>
      <c r="Y115" s="11" cm="1">
        <f t="array" ref="Y115">[1]!s_dq_close(Y$6,$A115,1)</f>
        <v>71.33</v>
      </c>
      <c r="Z115" s="11" cm="1">
        <f t="array" ref="Z115">[1]!s_dq_close(Z$6,$A115,1)</f>
        <v>77.08</v>
      </c>
      <c r="AA115" s="12" cm="1">
        <f t="array" ref="AA115">[1]!s_dq_oi(AA$6,$A115)</f>
        <v>1383978</v>
      </c>
      <c r="AB115" s="12" cm="1">
        <f t="array" ref="AB115">[1]!s_dq_close(AB$6,$A115,1)</f>
        <v>3313</v>
      </c>
      <c r="AC115" s="12" cm="1">
        <f t="array" ref="AC115">[1]!s_dq_close(AC$6,$A115,1)</f>
        <v>3973.71</v>
      </c>
      <c r="AD115" s="12" cm="1">
        <f t="array" ref="AD115">[1]!s_dq_close(AD$6,$A115,1)</f>
        <v>4002</v>
      </c>
      <c r="AE115" s="12" cm="1">
        <f t="array" ref="AE115">[1]!s_dq_close(AE$6,$A115,1)</f>
        <v>4114</v>
      </c>
      <c r="AF115" s="12" cm="1">
        <f t="array" ref="AF115">[1]!s_dq_close(AF$6,$A115,1)</f>
        <v>979</v>
      </c>
      <c r="AG115" s="12">
        <f>[1]!s_dq_close($AG$6,$A115)</f>
        <v>-2415</v>
      </c>
      <c r="AH115" s="11">
        <f>[1]!s_dq_close($AH$6,A115)</f>
        <v>7.1247999999999996</v>
      </c>
    </row>
    <row r="116" spans="1:34">
      <c r="A116" s="5">
        <v>45284</v>
      </c>
      <c r="B116" s="6">
        <v>2.5876999999999999</v>
      </c>
      <c r="C116" s="6">
        <v>2.7221000000000002</v>
      </c>
      <c r="D116" s="6">
        <v>2.7879999999999998</v>
      </c>
      <c r="E116" s="6">
        <v>3.9</v>
      </c>
      <c r="F116" s="6">
        <v>2.3807999999999998</v>
      </c>
      <c r="G116" s="6">
        <v>2.7172000000000001</v>
      </c>
      <c r="H116" s="6">
        <v>4.82</v>
      </c>
      <c r="I116" s="6">
        <v>2.3212999999999999</v>
      </c>
      <c r="J116" s="10">
        <v>1.71</v>
      </c>
      <c r="K116" s="10">
        <v>192.89</v>
      </c>
      <c r="L116" s="10"/>
      <c r="M116" s="1" cm="1">
        <f t="array" ref="M116">[1]!s_val_pe_ttm(M$6,$A116)</f>
        <v>12.259599685668899</v>
      </c>
      <c r="N116" s="1" cm="1">
        <f t="array" ref="N116">[1]!s_val_pe_ttm(N$6,$A116)</f>
        <v>24.986000061035199</v>
      </c>
      <c r="O116" s="1" cm="1">
        <f t="array" ref="O116">[1]!s_val_pb_lf(O$6,$A116)</f>
        <v>1.1936999559402499</v>
      </c>
      <c r="P116" s="1" cm="1">
        <f t="array" ref="P116">[1]!s_val_pb_lf(P$6,$A116)</f>
        <v>4.4024000167846697</v>
      </c>
      <c r="Q116" s="1">
        <f>[1]!cb_anal_convpremiumratio($Q$6,A116-2)</f>
        <v>51.735518130841101</v>
      </c>
      <c r="S116" s="1">
        <f>[1]!cb_anal_straightbondpremiumratio($S$6,A116-3)</f>
        <v>0</v>
      </c>
      <c r="T116" s="9" cm="1">
        <f t="array" ref="T116">[1]!s_dq_close(T$6,$A116,1)</f>
        <v>13.03</v>
      </c>
      <c r="U116" s="9" cm="1">
        <f t="array" ref="U116">[1]!s_dq_close(U$6,$A116,1)</f>
        <v>7.1393000000000004</v>
      </c>
      <c r="V116" s="9" cm="1">
        <f t="array" ref="V116">[1]!s_dq_close(V$6,$A116,1)</f>
        <v>101.70310000000001</v>
      </c>
      <c r="W116" s="11" cm="1">
        <f t="array" ref="W116">[1]!s_dq_close(W$6,$A116,1)</f>
        <v>479.54</v>
      </c>
      <c r="X116" s="11" cm="1">
        <f t="array" ref="X116">[1]!s_dq_close(X$6,$A116,1)</f>
        <v>2064.5</v>
      </c>
      <c r="Y116" s="11" cm="1">
        <f t="array" ref="Y116">[1]!s_dq_close(Y$6,$A116,1)</f>
        <v>73.489999999999995</v>
      </c>
      <c r="Z116" s="11" cm="1">
        <f t="array" ref="Z116">[1]!s_dq_close(Z$6,$A116,1)</f>
        <v>78.89</v>
      </c>
      <c r="AA116" s="12" cm="1">
        <f t="array" ref="AA116">[1]!s_dq_oi(AA$6,$A116)</f>
        <v>1395943</v>
      </c>
      <c r="AB116" s="12" cm="1">
        <f t="array" ref="AB116">[1]!s_dq_close(AB$6,$A116,1)</f>
        <v>3322</v>
      </c>
      <c r="AC116" s="12" cm="1">
        <f t="array" ref="AC116">[1]!s_dq_close(AC$6,$A116,1)</f>
        <v>3911.14</v>
      </c>
      <c r="AD116" s="12" cm="1">
        <f t="array" ref="AD116">[1]!s_dq_close(AD$6,$A116,1)</f>
        <v>4004</v>
      </c>
      <c r="AE116" s="12" cm="1">
        <f t="array" ref="AE116">[1]!s_dq_close(AE$6,$A116,1)</f>
        <v>4120</v>
      </c>
      <c r="AF116" s="12" cm="1">
        <f t="array" ref="AF116">[1]!s_dq_close(AF$6,$A116,1)</f>
        <v>977</v>
      </c>
      <c r="AG116" s="12">
        <f>[1]!s_dq_close($AG$6,$A116)</f>
        <v>-2450</v>
      </c>
      <c r="AH116" s="11">
        <f>[1]!s_dq_close($AH$6,A116)</f>
        <v>7.1532</v>
      </c>
    </row>
    <row r="117" spans="1:34">
      <c r="A117" s="5">
        <v>45277</v>
      </c>
      <c r="B117" s="6">
        <v>2.6227</v>
      </c>
      <c r="C117" s="6">
        <v>2.7284999999999999</v>
      </c>
      <c r="D117" s="6">
        <v>2.8447</v>
      </c>
      <c r="E117" s="6">
        <v>3.91</v>
      </c>
      <c r="F117" s="6">
        <v>2.4007999999999998</v>
      </c>
      <c r="G117" s="6">
        <v>2.7683</v>
      </c>
      <c r="H117" s="6">
        <v>4.95</v>
      </c>
      <c r="I117" s="6">
        <v>2.3401999999999998</v>
      </c>
      <c r="J117" s="10">
        <v>1.69</v>
      </c>
      <c r="K117" s="10">
        <v>0</v>
      </c>
      <c r="L117" s="10"/>
      <c r="M117" s="1" cm="1">
        <f t="array" ref="M117">[1]!s_val_pe_ttm(M$6,$A117)</f>
        <v>12.325599670410201</v>
      </c>
      <c r="N117" s="1" cm="1">
        <f t="array" ref="N117">[1]!s_val_pe_ttm(N$6,$A117)</f>
        <v>24.702800750732401</v>
      </c>
      <c r="O117" s="1" cm="1">
        <f t="array" ref="O117">[1]!s_val_pb_lf(O$6,$A117)</f>
        <v>1.1999000310897801</v>
      </c>
      <c r="P117" s="1" cm="1">
        <f t="array" ref="P117">[1]!s_val_pb_lf(P$6,$A117)</f>
        <v>4.3468999862670898</v>
      </c>
      <c r="Q117" s="1">
        <f>[1]!cb_anal_convpremiumratio($Q$6,A117-2)</f>
        <v>49.545049721706903</v>
      </c>
      <c r="S117" s="1">
        <f>[1]!cb_anal_straightbondpremiumratio($S$6,A117-3)</f>
        <v>0</v>
      </c>
      <c r="T117" s="9" cm="1">
        <f t="array" ref="T117">[1]!s_dq_close(T$6,$A117,1)</f>
        <v>12.28</v>
      </c>
      <c r="U117" s="9" cm="1">
        <f t="array" ref="U117">[1]!s_dq_close(U$6,$A117,1)</f>
        <v>7.0987</v>
      </c>
      <c r="V117" s="9" cm="1">
        <f t="array" ref="V117">[1]!s_dq_close(V$6,$A117,1)</f>
        <v>102.5936</v>
      </c>
      <c r="W117" s="11" cm="1">
        <f t="array" ref="W117">[1]!s_dq_close(W$6,$A117,1)</f>
        <v>475.46</v>
      </c>
      <c r="X117" s="11" cm="1">
        <f t="array" ref="X117">[1]!s_dq_close(X$6,$A117,1)</f>
        <v>2033.8</v>
      </c>
      <c r="Y117" s="11" cm="1">
        <f t="array" ref="Y117">[1]!s_dq_close(Y$6,$A117,1)</f>
        <v>71.790000000000006</v>
      </c>
      <c r="Z117" s="11" cm="1">
        <f t="array" ref="Z117">[1]!s_dq_close(Z$6,$A117,1)</f>
        <v>76.95</v>
      </c>
      <c r="AA117" s="12" cm="1">
        <f t="array" ref="AA117">[1]!s_dq_oi(AA$6,$A117)</f>
        <v>1322146</v>
      </c>
      <c r="AB117" s="12" cm="1">
        <f t="array" ref="AB117">[1]!s_dq_close(AB$6,$A117,1)</f>
        <v>3404</v>
      </c>
      <c r="AC117" s="12" cm="1">
        <f t="array" ref="AC117">[1]!s_dq_close(AC$6,$A117,1)</f>
        <v>4009.71</v>
      </c>
      <c r="AD117" s="12" cm="1">
        <f t="array" ref="AD117">[1]!s_dq_close(AD$6,$A117,1)</f>
        <v>3915</v>
      </c>
      <c r="AE117" s="12" cm="1">
        <f t="array" ref="AE117">[1]!s_dq_close(AE$6,$A117,1)</f>
        <v>4033</v>
      </c>
      <c r="AF117" s="12" cm="1">
        <f t="array" ref="AF117">[1]!s_dq_close(AF$6,$A117,1)</f>
        <v>935</v>
      </c>
      <c r="AG117" s="12">
        <f>[1]!s_dq_close($AG$6,$A117)</f>
        <v>-2389.4299999999998</v>
      </c>
      <c r="AH117" s="11">
        <f>[1]!s_dq_close($AH$6,A117)</f>
        <v>7.1345999999999998</v>
      </c>
    </row>
    <row r="118" spans="1:34">
      <c r="A118" s="5">
        <v>45270</v>
      </c>
      <c r="B118" s="6">
        <v>2.6636000000000002</v>
      </c>
      <c r="C118" s="6">
        <v>2.7732999999999999</v>
      </c>
      <c r="D118" s="6">
        <v>2.9567000000000001</v>
      </c>
      <c r="E118" s="6">
        <v>4.2300000000000004</v>
      </c>
      <c r="F118" s="6">
        <v>2.5257000000000001</v>
      </c>
      <c r="G118" s="6">
        <v>2.8359999999999999</v>
      </c>
      <c r="H118" s="6">
        <v>5.13</v>
      </c>
      <c r="I118" s="6">
        <v>2.4375</v>
      </c>
      <c r="J118" s="10">
        <v>2.02</v>
      </c>
      <c r="K118" s="10">
        <v>193.16</v>
      </c>
      <c r="L118" s="10"/>
      <c r="M118" s="1" cm="1">
        <f t="array" ref="M118">[1]!s_val_pe_ttm(M$6,$A118)</f>
        <v>12.424099922180201</v>
      </c>
      <c r="N118" s="1" cm="1">
        <f t="array" ref="N118">[1]!s_val_pe_ttm(N$6,$A118)</f>
        <v>24.146499633789102</v>
      </c>
      <c r="O118" s="1" cm="1">
        <f t="array" ref="O118">[1]!s_val_pb_lf(O$6,$A118)</f>
        <v>1.20980000495911</v>
      </c>
      <c r="P118" s="1" cm="1">
        <f t="array" ref="P118">[1]!s_val_pb_lf(P$6,$A118)</f>
        <v>4.2480001449584996</v>
      </c>
      <c r="Q118" s="1">
        <f>[1]!cb_anal_convpremiumratio($Q$6,A118-2)</f>
        <v>50.124918968692498</v>
      </c>
      <c r="S118" s="1">
        <f>[1]!cb_anal_straightbondpremiumratio($S$6,A118-3)</f>
        <v>0</v>
      </c>
      <c r="T118" s="9" cm="1">
        <f t="array" ref="T118">[1]!s_dq_close(T$6,$A118,1)</f>
        <v>12.35</v>
      </c>
      <c r="U118" s="9" cm="1">
        <f t="array" ref="U118">[1]!s_dq_close(U$6,$A118,1)</f>
        <v>7.1607000000000003</v>
      </c>
      <c r="V118" s="9" cm="1">
        <f t="array" ref="V118">[1]!s_dq_close(V$6,$A118,1)</f>
        <v>103.998</v>
      </c>
      <c r="W118" s="11" cm="1">
        <f t="array" ref="W118">[1]!s_dq_close(W$6,$A118,1)</f>
        <v>475.2</v>
      </c>
      <c r="X118" s="11" cm="1">
        <f t="array" ref="X118">[1]!s_dq_close(X$6,$A118,1)</f>
        <v>2020.8</v>
      </c>
      <c r="Y118" s="11" cm="1">
        <f t="array" ref="Y118">[1]!s_dq_close(Y$6,$A118,1)</f>
        <v>71.260000000000005</v>
      </c>
      <c r="Z118" s="11" cm="1">
        <f t="array" ref="Z118">[1]!s_dq_close(Z$6,$A118,1)</f>
        <v>75.650000000000006</v>
      </c>
      <c r="AA118" s="12" cm="1">
        <f t="array" ref="AA118">[1]!s_dq_oi(AA$6,$A118)</f>
        <v>653374</v>
      </c>
      <c r="AB118" s="12" cm="1">
        <f t="array" ref="AB118">[1]!s_dq_close(AB$6,$A118,1)</f>
        <v>3978</v>
      </c>
      <c r="AC118" s="12" cm="1">
        <f t="array" ref="AC118">[1]!s_dq_close(AC$6,$A118,1)</f>
        <v>4011.43</v>
      </c>
      <c r="AD118" s="12" cm="1">
        <f t="array" ref="AD118">[1]!s_dq_close(AD$6,$A118,1)</f>
        <v>4042</v>
      </c>
      <c r="AE118" s="12" cm="1">
        <f t="array" ref="AE118">[1]!s_dq_close(AE$6,$A118,1)</f>
        <v>4149</v>
      </c>
      <c r="AF118" s="12" cm="1">
        <f t="array" ref="AF118">[1]!s_dq_close(AF$6,$A118,1)</f>
        <v>963.5</v>
      </c>
      <c r="AG118" s="12">
        <f>[1]!s_dq_close($AG$6,$A118)</f>
        <v>-2460</v>
      </c>
      <c r="AH118" s="11">
        <f>[1]!s_dq_close($AH$6,A118)</f>
        <v>7.1853999999999996</v>
      </c>
    </row>
    <row r="119" spans="1:34">
      <c r="A119" s="5">
        <v>45263</v>
      </c>
      <c r="B119" s="6">
        <v>2.6625000000000001</v>
      </c>
      <c r="C119" s="6">
        <v>2.7677</v>
      </c>
      <c r="D119" s="6">
        <v>2.8885999999999998</v>
      </c>
      <c r="E119" s="6">
        <v>4.22</v>
      </c>
      <c r="F119" s="6">
        <v>2.5009999999999999</v>
      </c>
      <c r="G119" s="6">
        <v>2.7553000000000001</v>
      </c>
      <c r="H119" s="6">
        <v>5.05</v>
      </c>
      <c r="I119" s="6">
        <v>2.4169</v>
      </c>
      <c r="J119" s="10">
        <v>2</v>
      </c>
      <c r="K119" s="10">
        <v>201.61</v>
      </c>
      <c r="L119" s="10"/>
      <c r="M119" s="1" cm="1">
        <f t="array" ref="M119">[1]!s_val_pe_ttm(M$6,$A119)</f>
        <v>12.662599563598601</v>
      </c>
      <c r="N119" s="1" cm="1">
        <f t="array" ref="N119">[1]!s_val_pe_ttm(N$6,$A119)</f>
        <v>24.0723991394043</v>
      </c>
      <c r="O119" s="1" cm="1">
        <f t="array" ref="O119">[1]!s_val_pb_lf(O$6,$A119)</f>
        <v>1.2332999706268299</v>
      </c>
      <c r="P119" s="1" cm="1">
        <f t="array" ref="P119">[1]!s_val_pb_lf(P$6,$A119)</f>
        <v>4.23589992523193</v>
      </c>
      <c r="Q119" s="1">
        <f>[1]!cb_anal_convpremiumratio($Q$6,A119-2)</f>
        <v>47.0904158088236</v>
      </c>
      <c r="S119" s="1">
        <f>[1]!cb_anal_straightbondpremiumratio($S$6,A119-3)</f>
        <v>0</v>
      </c>
      <c r="T119" s="9" cm="1">
        <f t="array" ref="T119">[1]!s_dq_close(T$6,$A119,1)</f>
        <v>12.63</v>
      </c>
      <c r="U119" s="9" cm="1">
        <f t="array" ref="U119">[1]!s_dq_close(U$6,$A119,1)</f>
        <v>7.14</v>
      </c>
      <c r="V119" s="9" cm="1">
        <f t="array" ref="V119">[1]!s_dq_close(V$6,$A119,1)</f>
        <v>103.1952</v>
      </c>
      <c r="W119" s="11" cm="1">
        <f t="array" ref="W119">[1]!s_dq_close(W$6,$A119,1)</f>
        <v>475.78</v>
      </c>
      <c r="X119" s="11" cm="1">
        <f t="array" ref="X119">[1]!s_dq_close(X$6,$A119,1)</f>
        <v>2091.6999999999998</v>
      </c>
      <c r="Y119" s="11" cm="1">
        <f t="array" ref="Y119">[1]!s_dq_close(Y$6,$A119,1)</f>
        <v>74.38</v>
      </c>
      <c r="Z119" s="11" cm="1">
        <f t="array" ref="Z119">[1]!s_dq_close(Z$6,$A119,1)</f>
        <v>79.56</v>
      </c>
      <c r="AA119" s="12" cm="1">
        <f t="array" ref="AA119">[1]!s_dq_oi(AA$6,$A119)</f>
        <v>988141</v>
      </c>
      <c r="AB119" s="12" cm="1">
        <f t="array" ref="AB119">[1]!s_dq_close(AB$6,$A119,1)</f>
        <v>3860</v>
      </c>
      <c r="AC119" s="12" cm="1">
        <f t="array" ref="AC119">[1]!s_dq_close(AC$6,$A119,1)</f>
        <v>3964.29</v>
      </c>
      <c r="AD119" s="12" cm="1">
        <f t="array" ref="AD119">[1]!s_dq_close(AD$6,$A119,1)</f>
        <v>3923</v>
      </c>
      <c r="AE119" s="12" cm="1">
        <f t="array" ref="AE119">[1]!s_dq_close(AE$6,$A119,1)</f>
        <v>4025</v>
      </c>
      <c r="AF119" s="12" cm="1">
        <f t="array" ref="AF119">[1]!s_dq_close(AF$6,$A119,1)</f>
        <v>975.5</v>
      </c>
      <c r="AG119" s="12">
        <f>[1]!s_dq_close($AG$6,$A119)</f>
        <v>-2507</v>
      </c>
      <c r="AH119" s="11">
        <f>[1]!s_dq_close($AH$6,A119)</f>
        <v>7.1239999999999997</v>
      </c>
    </row>
    <row r="120" spans="1:34">
      <c r="A120" s="5">
        <v>45256</v>
      </c>
      <c r="B120" s="6">
        <v>2.7052999999999998</v>
      </c>
      <c r="C120" s="6">
        <v>2.7706</v>
      </c>
      <c r="D120" s="6">
        <v>2.8437000000000001</v>
      </c>
      <c r="E120" s="6">
        <v>4.47</v>
      </c>
      <c r="F120" s="6">
        <v>2.4803000000000002</v>
      </c>
      <c r="G120" s="6">
        <v>2.72</v>
      </c>
      <c r="H120" s="6">
        <v>5.27</v>
      </c>
      <c r="I120" s="6">
        <v>2.4563000000000001</v>
      </c>
      <c r="J120" s="10">
        <v>2.21</v>
      </c>
      <c r="K120" s="10">
        <v>196.91</v>
      </c>
      <c r="L120" s="10"/>
      <c r="M120" s="1" cm="1">
        <f t="array" ref="M120">[1]!s_val_pe_ttm(M$6,$A120)</f>
        <v>12.681200027465801</v>
      </c>
      <c r="N120" s="1" cm="1">
        <f t="array" ref="N120">[1]!s_val_pe_ttm(N$6,$A120)</f>
        <v>23.9592990875244</v>
      </c>
      <c r="O120" s="1" cm="1">
        <f t="array" ref="O120">[1]!s_val_pb_lf(O$6,$A120)</f>
        <v>1.2353999614715601</v>
      </c>
      <c r="P120" s="1" cm="1">
        <f t="array" ref="P120">[1]!s_val_pb_lf(P$6,$A120)</f>
        <v>4.2121000289917001</v>
      </c>
      <c r="Q120" s="1">
        <f>[1]!cb_anal_convpremiumratio($Q$6,A120-2)</f>
        <v>45.683316104868901</v>
      </c>
      <c r="S120" s="1">
        <f>[1]!cb_anal_straightbondpremiumratio($S$6,A120-3)</f>
        <v>0</v>
      </c>
      <c r="T120" s="9" cm="1">
        <f t="array" ref="T120">[1]!s_dq_close(T$6,$A120,1)</f>
        <v>12.46</v>
      </c>
      <c r="U120" s="9" cm="1">
        <f t="array" ref="U120">[1]!s_dq_close(U$6,$A120,1)</f>
        <v>7.1528999999999998</v>
      </c>
      <c r="V120" s="9" cm="1">
        <f t="array" ref="V120">[1]!s_dq_close(V$6,$A120,1)</f>
        <v>103.4359</v>
      </c>
      <c r="W120" s="11" cm="1">
        <f t="array" ref="W120">[1]!s_dq_close(W$6,$A120,1)</f>
        <v>465.9</v>
      </c>
      <c r="X120" s="11" cm="1">
        <f t="array" ref="X120">[1]!s_dq_close(X$6,$A120,1)</f>
        <v>2003.7</v>
      </c>
      <c r="Y120" s="11" cm="1">
        <f t="array" ref="Y120">[1]!s_dq_close(Y$6,$A120,1)</f>
        <v>75.180000000000007</v>
      </c>
      <c r="Z120" s="11" cm="1">
        <f t="array" ref="Z120">[1]!s_dq_close(Z$6,$A120,1)</f>
        <v>80.150000000000006</v>
      </c>
      <c r="AA120" s="12" cm="1">
        <f t="array" ref="AA120">[1]!s_dq_oi(AA$6,$A120)</f>
        <v>1103505</v>
      </c>
      <c r="AB120" s="12" cm="1">
        <f t="array" ref="AB120">[1]!s_dq_close(AB$6,$A120,1)</f>
        <v>3969</v>
      </c>
      <c r="AC120" s="12" cm="1">
        <f t="array" ref="AC120">[1]!s_dq_close(AC$6,$A120,1)</f>
        <v>4101.1400000000003</v>
      </c>
      <c r="AD120" s="12" cm="1">
        <f t="array" ref="AD120">[1]!s_dq_close(AD$6,$A120,1)</f>
        <v>3976</v>
      </c>
      <c r="AE120" s="12" cm="1">
        <f t="array" ref="AE120">[1]!s_dq_close(AE$6,$A120,1)</f>
        <v>4054</v>
      </c>
      <c r="AF120" s="12" cm="1">
        <f t="array" ref="AF120">[1]!s_dq_close(AF$6,$A120,1)</f>
        <v>986.5</v>
      </c>
      <c r="AG120" s="12">
        <f>[1]!s_dq_close($AG$6,$A120)</f>
        <v>-2580</v>
      </c>
      <c r="AH120" s="11">
        <f>[1]!s_dq_close($AH$6,A120)</f>
        <v>7.1482999999999999</v>
      </c>
    </row>
    <row r="121" spans="1:34">
      <c r="A121" s="5">
        <v>45249</v>
      </c>
      <c r="B121" s="6">
        <v>2.6524000000000001</v>
      </c>
      <c r="C121" s="6">
        <v>2.7132000000000001</v>
      </c>
      <c r="D121" s="6">
        <v>2.8094000000000001</v>
      </c>
      <c r="E121" s="6">
        <v>4.4400000000000004</v>
      </c>
      <c r="F121" s="6">
        <v>2.3801000000000001</v>
      </c>
      <c r="G121" s="6">
        <v>2.6785000000000001</v>
      </c>
      <c r="H121" s="6">
        <v>5.24</v>
      </c>
      <c r="I121" s="6">
        <v>2.3422999999999998</v>
      </c>
      <c r="J121" s="10">
        <v>2.16</v>
      </c>
      <c r="K121" s="10">
        <v>0</v>
      </c>
      <c r="L121" s="10"/>
      <c r="M121" s="1" cm="1">
        <f t="array" ref="M121">[1]!s_val_pe_ttm(M$6,$A121)</f>
        <v>12.717100143432599</v>
      </c>
      <c r="N121" s="1" cm="1">
        <f t="array" ref="N121">[1]!s_val_pe_ttm(N$6,$A121)</f>
        <v>23.874900817871101</v>
      </c>
      <c r="O121" s="1" cm="1">
        <f t="array" ref="O121">[1]!s_val_pb_lf(O$6,$A121)</f>
        <v>1.2389999628067001</v>
      </c>
      <c r="P121" s="1" cm="1">
        <f t="array" ref="P121">[1]!s_val_pb_lf(P$6,$A121)</f>
        <v>4.1725997924804696</v>
      </c>
      <c r="Q121" s="1">
        <f>[1]!cb_anal_convpremiumratio($Q$6,A121-2)</f>
        <v>45.861877611940301</v>
      </c>
      <c r="S121" s="1">
        <f>[1]!cb_anal_straightbondpremiumratio($S$6,A121-3)</f>
        <v>0</v>
      </c>
      <c r="T121" s="9" cm="1">
        <f t="array" ref="T121">[1]!s_dq_close(T$6,$A121,1)</f>
        <v>13.8</v>
      </c>
      <c r="U121" s="9" cm="1">
        <f t="array" ref="U121">[1]!s_dq_close(U$6,$A121,1)</f>
        <v>7.2465000000000002</v>
      </c>
      <c r="V121" s="9" cm="1">
        <f t="array" ref="V121">[1]!s_dq_close(V$6,$A121,1)</f>
        <v>103.8218</v>
      </c>
      <c r="W121" s="11" cm="1">
        <f t="array" ref="W121">[1]!s_dq_close(W$6,$A121,1)</f>
        <v>473.44</v>
      </c>
      <c r="X121" s="11" cm="1">
        <f t="array" ref="X121">[1]!s_dq_close(X$6,$A121,1)</f>
        <v>1983.5</v>
      </c>
      <c r="Y121" s="11" cm="1">
        <f t="array" ref="Y121">[1]!s_dq_close(Y$6,$A121,1)</f>
        <v>76.08</v>
      </c>
      <c r="Z121" s="11" cm="1">
        <f t="array" ref="Z121">[1]!s_dq_close(Z$6,$A121,1)</f>
        <v>80.62</v>
      </c>
      <c r="AA121" s="12" cm="1">
        <f t="array" ref="AA121">[1]!s_dq_oi(AA$6,$A121)</f>
        <v>1245175</v>
      </c>
      <c r="AB121" s="12" cm="1">
        <f t="array" ref="AB121">[1]!s_dq_close(AB$6,$A121,1)</f>
        <v>4036</v>
      </c>
      <c r="AC121" s="12" cm="1">
        <f t="array" ref="AC121">[1]!s_dq_close(AC$6,$A121,1)</f>
        <v>4192.29</v>
      </c>
      <c r="AD121" s="12" cm="1">
        <f t="array" ref="AD121">[1]!s_dq_close(AD$6,$A121,1)</f>
        <v>3929</v>
      </c>
      <c r="AE121" s="12" cm="1">
        <f t="array" ref="AE121">[1]!s_dq_close(AE$6,$A121,1)</f>
        <v>4012</v>
      </c>
      <c r="AF121" s="12" cm="1">
        <f t="array" ref="AF121">[1]!s_dq_close(AF$6,$A121,1)</f>
        <v>952</v>
      </c>
      <c r="AG121" s="12">
        <f>[1]!s_dq_close($AG$6,$A121)</f>
        <v>-2525</v>
      </c>
      <c r="AH121" s="11">
        <f>[1]!s_dq_close($AH$6,A121)</f>
        <v>7.2176</v>
      </c>
    </row>
    <row r="122" spans="1:34">
      <c r="A122" s="5">
        <v>45242</v>
      </c>
      <c r="B122" s="6">
        <v>2.6444000000000001</v>
      </c>
      <c r="C122" s="6">
        <v>2.7081</v>
      </c>
      <c r="D122" s="6">
        <v>2.8330000000000002</v>
      </c>
      <c r="E122" s="6">
        <v>4.6100000000000003</v>
      </c>
      <c r="F122" s="6">
        <v>2.42</v>
      </c>
      <c r="G122" s="6">
        <v>2.6861999999999999</v>
      </c>
      <c r="H122" s="6">
        <v>5.38</v>
      </c>
      <c r="I122" s="6">
        <v>2.3807999999999998</v>
      </c>
      <c r="J122" s="10">
        <v>2.29</v>
      </c>
      <c r="K122" s="10">
        <v>197.06</v>
      </c>
      <c r="L122" s="10"/>
      <c r="M122" s="1" cm="1">
        <f t="array" ref="M122">[1]!s_val_pe_ttm(M$6,$A122)</f>
        <v>12.6661996841431</v>
      </c>
      <c r="N122" s="1" cm="1">
        <f t="array" ref="N122">[1]!s_val_pe_ttm(N$6,$A122)</f>
        <v>23.394599914550799</v>
      </c>
      <c r="O122" s="1" cm="1">
        <f t="array" ref="O122">[1]!s_val_pb_lf(O$6,$A122)</f>
        <v>1.2339999675750699</v>
      </c>
      <c r="P122" s="1" cm="1">
        <f t="array" ref="P122">[1]!s_val_pb_lf(P$6,$A122)</f>
        <v>4.0847001075744602</v>
      </c>
      <c r="Q122" s="1">
        <f>[1]!cb_anal_convpremiumratio($Q$6,A122-2)</f>
        <v>48.114010986964601</v>
      </c>
      <c r="S122" s="1">
        <f>[1]!cb_anal_straightbondpremiumratio($S$6,A122-3)</f>
        <v>0</v>
      </c>
      <c r="T122" s="9" cm="1">
        <f t="array" ref="T122">[1]!s_dq_close(T$6,$A122,1)</f>
        <v>14.17</v>
      </c>
      <c r="U122" s="9" cm="1">
        <f t="array" ref="U122">[1]!s_dq_close(U$6,$A122,1)</f>
        <v>7.2906000000000004</v>
      </c>
      <c r="V122" s="9" cm="1">
        <f t="array" ref="V122">[1]!s_dq_close(V$6,$A122,1)</f>
        <v>105.81019999999999</v>
      </c>
      <c r="W122" s="11" cm="1">
        <f t="array" ref="W122">[1]!s_dq_close(W$6,$A122,1)</f>
        <v>471.36</v>
      </c>
      <c r="X122" s="11" cm="1">
        <f t="array" ref="X122">[1]!s_dq_close(X$6,$A122,1)</f>
        <v>1942.7</v>
      </c>
      <c r="Y122" s="11" cm="1">
        <f t="array" ref="Y122">[1]!s_dq_close(Y$6,$A122,1)</f>
        <v>77.349999999999994</v>
      </c>
      <c r="Z122" s="11" cm="1">
        <f t="array" ref="Z122">[1]!s_dq_close(Z$6,$A122,1)</f>
        <v>81.7</v>
      </c>
      <c r="AA122" s="12" cm="1">
        <f t="array" ref="AA122">[1]!s_dq_oi(AA$6,$A122)</f>
        <v>1340955</v>
      </c>
      <c r="AB122" s="12" cm="1">
        <f t="array" ref="AB122">[1]!s_dq_close(AB$6,$A122,1)</f>
        <v>4028</v>
      </c>
      <c r="AC122" s="12" cm="1">
        <f t="array" ref="AC122">[1]!s_dq_close(AC$6,$A122,1)</f>
        <v>4239.71</v>
      </c>
      <c r="AD122" s="12" cm="1">
        <f t="array" ref="AD122">[1]!s_dq_close(AD$6,$A122,1)</f>
        <v>3879</v>
      </c>
      <c r="AE122" s="12" cm="1">
        <f t="array" ref="AE122">[1]!s_dq_close(AE$6,$A122,1)</f>
        <v>3985</v>
      </c>
      <c r="AF122" s="12" cm="1">
        <f t="array" ref="AF122">[1]!s_dq_close(AF$6,$A122,1)</f>
        <v>961.5</v>
      </c>
      <c r="AG122" s="12">
        <f>[1]!s_dq_close($AG$6,$A122)</f>
        <v>-2670</v>
      </c>
      <c r="AH122" s="11">
        <f>[1]!s_dq_close($AH$6,A122)</f>
        <v>7.3071999999999999</v>
      </c>
    </row>
    <row r="123" spans="1:34">
      <c r="A123" s="5">
        <v>45235</v>
      </c>
      <c r="B123" s="6">
        <v>2.6613000000000002</v>
      </c>
      <c r="C123" s="6">
        <v>2.7153999999999998</v>
      </c>
      <c r="D123" s="6">
        <v>2.8155999999999999</v>
      </c>
      <c r="E123" s="6">
        <v>4.57</v>
      </c>
      <c r="F123" s="6">
        <v>2.3935</v>
      </c>
      <c r="G123" s="6">
        <v>2.6757</v>
      </c>
      <c r="H123" s="6">
        <v>5.29</v>
      </c>
      <c r="I123" s="6">
        <v>2.3713000000000002</v>
      </c>
      <c r="J123" s="10">
        <v>2.1800000000000002</v>
      </c>
      <c r="K123" s="10">
        <v>192.38</v>
      </c>
      <c r="L123" s="10"/>
      <c r="M123" s="1" cm="1">
        <f t="array" ref="M123">[1]!s_val_pe_ttm(M$6,$A123)</f>
        <v>12.668000221252401</v>
      </c>
      <c r="N123" s="1" cm="1">
        <f t="array" ref="N123">[1]!s_val_pe_ttm(N$6,$A123)</f>
        <v>23.030899047851602</v>
      </c>
      <c r="O123" s="1" cm="1">
        <f t="array" ref="O123">[1]!s_val_pb_lf(O$6,$A123)</f>
        <v>1.2336000204086299</v>
      </c>
      <c r="P123" s="1" cm="1">
        <f t="array" ref="P123">[1]!s_val_pb_lf(P$6,$A123)</f>
        <v>4.0300998687744096</v>
      </c>
      <c r="Q123" s="1">
        <f>[1]!cb_anal_convpremiumratio($Q$6,A123-2)</f>
        <v>49.1505687150838</v>
      </c>
      <c r="S123" s="1">
        <f>[1]!cb_anal_straightbondpremiumratio($S$6,A123-3)</f>
        <v>0</v>
      </c>
      <c r="T123" s="9" cm="1">
        <f t="array" ref="T123">[1]!s_dq_close(T$6,$A123,1)</f>
        <v>14.91</v>
      </c>
      <c r="U123" s="9" cm="1">
        <f t="array" ref="U123">[1]!s_dq_close(U$6,$A123,1)</f>
        <v>7.3132999999999999</v>
      </c>
      <c r="V123" s="9" cm="1">
        <f t="array" ref="V123">[1]!s_dq_close(V$6,$A123,1)</f>
        <v>105.05410000000001</v>
      </c>
      <c r="W123" s="11" cm="1">
        <f t="array" ref="W123">[1]!s_dq_close(W$6,$A123,1)</f>
        <v>478.2</v>
      </c>
      <c r="X123" s="11" cm="1">
        <f t="array" ref="X123">[1]!s_dq_close(X$6,$A123,1)</f>
        <v>1999.9</v>
      </c>
      <c r="Y123" s="11" cm="1">
        <f t="array" ref="Y123">[1]!s_dq_close(Y$6,$A123,1)</f>
        <v>80.89</v>
      </c>
      <c r="Z123" s="11" cm="1">
        <f t="array" ref="Z123">[1]!s_dq_close(Z$6,$A123,1)</f>
        <v>85.23</v>
      </c>
      <c r="AA123" s="12" cm="1">
        <f t="array" ref="AA123">[1]!s_dq_oi(AA$6,$A123)</f>
        <v>1416407</v>
      </c>
      <c r="AB123" s="12" cm="1">
        <f t="array" ref="AB123">[1]!s_dq_close(AB$6,$A123,1)</f>
        <v>4039</v>
      </c>
      <c r="AC123" s="12" cm="1">
        <f t="array" ref="AC123">[1]!s_dq_close(AC$6,$A123,1)</f>
        <v>4257.71</v>
      </c>
      <c r="AD123" s="12" cm="1">
        <f t="array" ref="AD123">[1]!s_dq_close(AD$6,$A123,1)</f>
        <v>3805</v>
      </c>
      <c r="AE123" s="12" cm="1">
        <f t="array" ref="AE123">[1]!s_dq_close(AE$6,$A123,1)</f>
        <v>3899</v>
      </c>
      <c r="AF123" s="12" cm="1">
        <f t="array" ref="AF123">[1]!s_dq_close(AF$6,$A123,1)</f>
        <v>924.5</v>
      </c>
      <c r="AG123" s="12">
        <f>[1]!s_dq_close($AG$6,$A123)</f>
        <v>-2667</v>
      </c>
      <c r="AH123" s="11">
        <f>[1]!s_dq_close($AH$6,A123)</f>
        <v>7.2882999999999996</v>
      </c>
    </row>
    <row r="124" spans="1:34">
      <c r="A124" s="5">
        <v>45228</v>
      </c>
      <c r="B124" s="6">
        <v>2.7132999999999998</v>
      </c>
      <c r="C124" s="6">
        <v>2.7477999999999998</v>
      </c>
      <c r="D124" s="6">
        <v>2.823</v>
      </c>
      <c r="E124" s="6">
        <v>4.84</v>
      </c>
      <c r="F124" s="6">
        <v>2.3959999999999999</v>
      </c>
      <c r="G124" s="6">
        <v>2.7038000000000002</v>
      </c>
      <c r="H124" s="6">
        <v>5.39</v>
      </c>
      <c r="I124" s="6">
        <v>2.3835000000000002</v>
      </c>
      <c r="J124" s="10">
        <v>2.42</v>
      </c>
      <c r="K124" s="10">
        <v>0</v>
      </c>
      <c r="L124" s="10"/>
      <c r="M124" s="1" cm="1">
        <f t="array" ref="M124">[1]!s_val_pe_ttm(M$6,$A124)</f>
        <v>12.647199630737299</v>
      </c>
      <c r="N124" s="1" cm="1">
        <f t="array" ref="N124">[1]!s_val_pe_ttm(N$6,$A124)</f>
        <v>21.6396999359131</v>
      </c>
      <c r="O124" s="1" cm="1">
        <f t="array" ref="O124">[1]!s_val_pb_lf(O$6,$A124)</f>
        <v>1.2389999628067001</v>
      </c>
      <c r="P124" s="1" cm="1">
        <f t="array" ref="P124">[1]!s_val_pb_lf(P$6,$A124)</f>
        <v>3.81780004501343</v>
      </c>
      <c r="Q124" s="1">
        <f>[1]!cb_anal_convpremiumratio($Q$6,A124-2)</f>
        <v>51.575462030075201</v>
      </c>
      <c r="S124" s="1">
        <f>[1]!cb_anal_straightbondpremiumratio($S$6,A124-3)</f>
        <v>0</v>
      </c>
      <c r="T124" s="9" cm="1">
        <f t="array" ref="T124">[1]!s_dq_close(T$6,$A124,1)</f>
        <v>21.27</v>
      </c>
      <c r="U124" s="9" cm="1">
        <f t="array" ref="U124">[1]!s_dq_close(U$6,$A124,1)</f>
        <v>7.3166000000000002</v>
      </c>
      <c r="V124" s="9" cm="1">
        <f t="array" ref="V124">[1]!s_dq_close(V$6,$A124,1)</f>
        <v>106.57899999999999</v>
      </c>
      <c r="W124" s="11" cm="1">
        <f t="array" ref="W124">[1]!s_dq_close(W$6,$A124,1)</f>
        <v>476.98</v>
      </c>
      <c r="X124" s="11" cm="1">
        <f t="array" ref="X124">[1]!s_dq_close(X$6,$A124,1)</f>
        <v>2016.3</v>
      </c>
      <c r="Y124" s="11" cm="1">
        <f t="array" ref="Y124">[1]!s_dq_close(Y$6,$A124,1)</f>
        <v>85.16</v>
      </c>
      <c r="Z124" s="11" cm="1">
        <f t="array" ref="Z124">[1]!s_dq_close(Z$6,$A124,1)</f>
        <v>89.17</v>
      </c>
      <c r="AA124" s="12" cm="1">
        <f t="array" ref="AA124">[1]!s_dq_oi(AA$6,$A124)</f>
        <v>1396980</v>
      </c>
      <c r="AB124" s="12" cm="1">
        <f t="array" ref="AB124">[1]!s_dq_close(AB$6,$A124,1)</f>
        <v>3929</v>
      </c>
      <c r="AC124" s="12" cm="1">
        <f t="array" ref="AC124">[1]!s_dq_close(AC$6,$A124,1)</f>
        <v>4221.43</v>
      </c>
      <c r="AD124" s="12" cm="1">
        <f t="array" ref="AD124">[1]!s_dq_close(AD$6,$A124,1)</f>
        <v>3724</v>
      </c>
      <c r="AE124" s="12" cm="1">
        <f t="array" ref="AE124">[1]!s_dq_close(AE$6,$A124,1)</f>
        <v>3844</v>
      </c>
      <c r="AF124" s="12" cm="1">
        <f t="array" ref="AF124">[1]!s_dq_close(AF$6,$A124,1)</f>
        <v>889.5</v>
      </c>
      <c r="AG124" s="12">
        <f>[1]!s_dq_close($AG$6,$A124)</f>
        <v>-2722</v>
      </c>
      <c r="AH124" s="11">
        <f>[1]!s_dq_close($AH$6,A124)</f>
        <v>7.3337000000000003</v>
      </c>
    </row>
    <row r="125" spans="1:34">
      <c r="A125" s="5">
        <v>45221</v>
      </c>
      <c r="B125" s="6">
        <v>2.7052</v>
      </c>
      <c r="C125" s="6">
        <v>2.7576999999999998</v>
      </c>
      <c r="D125" s="6">
        <v>2.8262</v>
      </c>
      <c r="E125" s="6">
        <v>4.93</v>
      </c>
      <c r="F125" s="6">
        <v>2.4535</v>
      </c>
      <c r="G125" s="6">
        <v>2.6865000000000001</v>
      </c>
      <c r="H125" s="6">
        <v>5.41</v>
      </c>
      <c r="I125" s="6">
        <v>2.4249999999999998</v>
      </c>
      <c r="J125" s="10">
        <v>2.46</v>
      </c>
      <c r="K125" s="10">
        <v>203.91</v>
      </c>
      <c r="L125" s="10"/>
      <c r="M125" s="1" cm="1">
        <f t="array" ref="M125">[1]!s_val_pe_ttm(M$6,$A125)</f>
        <v>12.6078996658325</v>
      </c>
      <c r="N125" s="1" cm="1">
        <f t="array" ref="N125">[1]!s_val_pe_ttm(N$6,$A125)</f>
        <v>22.6473999023438</v>
      </c>
      <c r="O125" s="1" cm="1">
        <f t="array" ref="O125">[1]!s_val_pb_lf(O$6,$A125)</f>
        <v>1.24580001831055</v>
      </c>
      <c r="P125" s="1" cm="1">
        <f t="array" ref="P125">[1]!s_val_pb_lf(P$6,$A125)</f>
        <v>3.9563000202178999</v>
      </c>
      <c r="Q125" s="1">
        <f>[1]!cb_anal_convpremiumratio($Q$6,A125-2)</f>
        <v>52.535138317757003</v>
      </c>
      <c r="S125" s="1">
        <f>[1]!cb_anal_straightbondpremiumratio($S$6,A125-3)</f>
        <v>0</v>
      </c>
      <c r="T125" s="9" cm="1">
        <f t="array" ref="T125">[1]!s_dq_close(T$6,$A125,1)</f>
        <v>21.71</v>
      </c>
      <c r="U125" s="9" cm="1">
        <f t="array" ref="U125">[1]!s_dq_close(U$6,$A125,1)</f>
        <v>7.3150000000000004</v>
      </c>
      <c r="V125" s="9" cm="1">
        <f t="array" ref="V125">[1]!s_dq_close(V$6,$A125,1)</f>
        <v>106.1554</v>
      </c>
      <c r="W125" s="11" cm="1">
        <f t="array" ref="W125">[1]!s_dq_close(W$6,$A125,1)</f>
        <v>476.68</v>
      </c>
      <c r="X125" s="11" cm="1">
        <f t="array" ref="X125">[1]!s_dq_close(X$6,$A125,1)</f>
        <v>1993.1</v>
      </c>
      <c r="Y125" s="11" cm="1">
        <f t="array" ref="Y125">[1]!s_dq_close(Y$6,$A125,1)</f>
        <v>88.3</v>
      </c>
      <c r="Z125" s="11" cm="1">
        <f t="array" ref="Z125">[1]!s_dq_close(Z$6,$A125,1)</f>
        <v>92.51</v>
      </c>
      <c r="AA125" s="12" cm="1">
        <f t="array" ref="AA125">[1]!s_dq_oi(AA$6,$A125)</f>
        <v>1425655</v>
      </c>
      <c r="AB125" s="12" cm="1">
        <f t="array" ref="AB125">[1]!s_dq_close(AB$6,$A125,1)</f>
        <v>3913</v>
      </c>
      <c r="AC125" s="12" cm="1">
        <f t="array" ref="AC125">[1]!s_dq_close(AC$6,$A125,1)</f>
        <v>4354.57</v>
      </c>
      <c r="AD125" s="12" cm="1">
        <f t="array" ref="AD125">[1]!s_dq_close(AD$6,$A125,1)</f>
        <v>3610</v>
      </c>
      <c r="AE125" s="12" cm="1">
        <f t="array" ref="AE125">[1]!s_dq_close(AE$6,$A125,1)</f>
        <v>3729</v>
      </c>
      <c r="AF125" s="12" cm="1">
        <f t="array" ref="AF125">[1]!s_dq_close(AF$6,$A125,1)</f>
        <v>839</v>
      </c>
      <c r="AG125" s="12">
        <f>[1]!s_dq_close($AG$6,$A125)</f>
        <v>-2642</v>
      </c>
      <c r="AH125" s="11">
        <f>[1]!s_dq_close($AH$6,A125)</f>
        <v>7.3285999999999998</v>
      </c>
    </row>
    <row r="126" spans="1:34">
      <c r="A126" s="5">
        <v>45214</v>
      </c>
      <c r="B126" s="6">
        <v>2.6701999999999999</v>
      </c>
      <c r="C126" s="6">
        <v>2.7302</v>
      </c>
      <c r="D126" s="6">
        <v>2.7576999999999998</v>
      </c>
      <c r="E126" s="6">
        <v>4.63</v>
      </c>
      <c r="F126" s="6">
        <v>2.3046000000000002</v>
      </c>
      <c r="G126" s="6">
        <v>2.5948000000000002</v>
      </c>
      <c r="H126" s="6">
        <v>5.41</v>
      </c>
      <c r="I126" s="6">
        <v>2.3481000000000001</v>
      </c>
      <c r="J126" s="10">
        <v>2.29</v>
      </c>
      <c r="K126" s="10">
        <v>208.3</v>
      </c>
      <c r="L126" s="10"/>
      <c r="M126" s="1" cm="1">
        <f t="array" ref="M126">[1]!s_val_pe_ttm(M$6,$A126)</f>
        <v>13.0443000793457</v>
      </c>
      <c r="N126" s="1" cm="1">
        <f t="array" ref="N126">[1]!s_val_pe_ttm(N$6,$A126)</f>
        <v>23.460399627685501</v>
      </c>
      <c r="O126" s="1" cm="1">
        <f t="array" ref="O126">[1]!s_val_pb_lf(O$6,$A126)</f>
        <v>1.2878999710082999</v>
      </c>
      <c r="P126" s="1" cm="1">
        <f t="array" ref="P126">[1]!s_val_pb_lf(P$6,$A126)</f>
        <v>4.0525999069213903</v>
      </c>
      <c r="Q126" s="1">
        <f>[1]!cb_anal_convpremiumratio($Q$6,A126-2)</f>
        <v>50.955509665427499</v>
      </c>
      <c r="S126" s="1">
        <f>[1]!cb_anal_straightbondpremiumratio($S$6,A126-3)</f>
        <v>0</v>
      </c>
      <c r="T126" s="9" cm="1">
        <f t="array" ref="T126">[1]!s_dq_close(T$6,$A126,1)</f>
        <v>19.32</v>
      </c>
      <c r="U126" s="9" cm="1">
        <f t="array" ref="U126">[1]!s_dq_close(U$6,$A126,1)</f>
        <v>7.3040000000000003</v>
      </c>
      <c r="V126" s="9" cm="1">
        <f t="array" ref="V126">[1]!s_dq_close(V$6,$A126,1)</f>
        <v>106.6767</v>
      </c>
      <c r="W126" s="11" cm="1">
        <f t="array" ref="W126">[1]!s_dq_close(W$6,$A126,1)</f>
        <v>454.92</v>
      </c>
      <c r="X126" s="11" cm="1">
        <f t="array" ref="X126">[1]!s_dq_close(X$6,$A126,1)</f>
        <v>1945.9</v>
      </c>
      <c r="Y126" s="11" cm="1">
        <f t="array" ref="Y126">[1]!s_dq_close(Y$6,$A126,1)</f>
        <v>87.72</v>
      </c>
      <c r="Z126" s="11" cm="1">
        <f t="array" ref="Z126">[1]!s_dq_close(Z$6,$A126,1)</f>
        <v>90.8</v>
      </c>
      <c r="AA126" s="12" cm="1">
        <f t="array" ref="AA126">[1]!s_dq_oi(AA$6,$A126)</f>
        <v>1440339</v>
      </c>
      <c r="AB126" s="12" cm="1">
        <f t="array" ref="AB126">[1]!s_dq_close(AB$6,$A126,1)</f>
        <v>3873</v>
      </c>
      <c r="AC126" s="12" cm="1">
        <f t="array" ref="AC126">[1]!s_dq_close(AC$6,$A126,1)</f>
        <v>4355.43</v>
      </c>
      <c r="AD126" s="12" cm="1">
        <f t="array" ref="AD126">[1]!s_dq_close(AD$6,$A126,1)</f>
        <v>3620</v>
      </c>
      <c r="AE126" s="12" cm="1">
        <f t="array" ref="AE126">[1]!s_dq_close(AE$6,$A126,1)</f>
        <v>3727</v>
      </c>
      <c r="AF126" s="12" cm="1">
        <f t="array" ref="AF126">[1]!s_dq_close(AF$6,$A126,1)</f>
        <v>842</v>
      </c>
      <c r="AG126" s="12">
        <f>[1]!s_dq_close($AG$6,$A126)</f>
        <v>-2647</v>
      </c>
      <c r="AH126" s="11">
        <f>[1]!s_dq_close($AH$6,A126)</f>
        <v>7.3129</v>
      </c>
    </row>
    <row r="127" spans="1:34">
      <c r="A127" s="5">
        <v>45207</v>
      </c>
      <c r="B127" s="6">
        <v>2.6625999999999999</v>
      </c>
      <c r="C127" s="6">
        <v>2.7351000000000001</v>
      </c>
      <c r="D127" s="6">
        <v>2.7046999999999999</v>
      </c>
      <c r="E127" s="6">
        <v>4.78</v>
      </c>
      <c r="F127" s="6">
        <v>2.2355999999999998</v>
      </c>
      <c r="G127" s="6">
        <v>2.5366</v>
      </c>
      <c r="H127" s="6">
        <v>5.43</v>
      </c>
      <c r="I127" s="6">
        <v>2.2618999999999998</v>
      </c>
      <c r="J127" s="10">
        <v>2.4700000000000002</v>
      </c>
      <c r="K127" s="10">
        <v>0</v>
      </c>
      <c r="L127" s="10"/>
      <c r="M127" s="1" cm="1">
        <f t="array" ref="M127">[1]!s_val_pe_ttm(M$6,$A127)</f>
        <v>13.0746002197266</v>
      </c>
      <c r="N127" s="1" cm="1">
        <f t="array" ref="N127">[1]!s_val_pe_ttm(N$6,$A127)</f>
        <v>23.431800842285199</v>
      </c>
      <c r="O127" s="1" cm="1">
        <f t="array" ref="O127">[1]!s_val_pb_lf(O$6,$A127)</f>
        <v>1.29419994354248</v>
      </c>
      <c r="P127" s="1" cm="1">
        <f t="array" ref="P127">[1]!s_val_pb_lf(P$6,$A127)</f>
        <v>4.0402998924255398</v>
      </c>
      <c r="Q127" s="1">
        <f>[1]!cb_anal_convpremiumratio($Q$6,A127-2)</f>
        <v>0</v>
      </c>
      <c r="S127" s="1">
        <f>[1]!cb_anal_straightbondpremiumratio($S$6,A127-3)</f>
        <v>0</v>
      </c>
      <c r="T127" s="9" cm="1">
        <f t="array" ref="T127">[1]!s_dq_close(T$6,$A127,1)</f>
        <v>17.45</v>
      </c>
      <c r="U127" s="9" cm="1">
        <f t="array" ref="U127">[1]!s_dq_close(U$6,$A127,1)</f>
        <v>7.3002000000000002</v>
      </c>
      <c r="V127" s="9" cm="1">
        <f t="array" ref="V127">[1]!s_dq_close(V$6,$A127,1)</f>
        <v>106.1071</v>
      </c>
      <c r="W127" s="11" cm="1">
        <f t="array" ref="W127">[1]!s_dq_close(W$6,$A127,1)</f>
        <v>459.5</v>
      </c>
      <c r="X127" s="11" cm="1">
        <f t="array" ref="X127">[1]!s_dq_close(X$6,$A127,1)</f>
        <v>1847</v>
      </c>
      <c r="Y127" s="11" cm="1">
        <f t="array" ref="Y127">[1]!s_dq_close(Y$6,$A127,1)</f>
        <v>82.81</v>
      </c>
      <c r="Z127" s="11" cm="1">
        <f t="array" ref="Z127">[1]!s_dq_close(Z$6,$A127,1)</f>
        <v>84.43</v>
      </c>
      <c r="AA127" s="12" cm="1">
        <f t="array" ref="AA127">[1]!s_dq_oi(AA$6,$A127)</f>
        <v>1566592</v>
      </c>
      <c r="AB127" s="12" cm="1">
        <f t="array" ref="AB127">[1]!s_dq_close(AB$6,$A127,1)</f>
        <v>3996</v>
      </c>
      <c r="AC127" s="12" cm="1">
        <f t="array" ref="AC127">[1]!s_dq_close(AC$6,$A127,1)</f>
        <v>4572</v>
      </c>
      <c r="AD127" s="12" cm="1">
        <f t="array" ref="AD127">[1]!s_dq_close(AD$6,$A127,1)</f>
        <v>3690</v>
      </c>
      <c r="AE127" s="12" cm="1">
        <f t="array" ref="AE127">[1]!s_dq_close(AE$6,$A127,1)</f>
        <v>3795</v>
      </c>
      <c r="AF127" s="12" cm="1">
        <f t="array" ref="AF127">[1]!s_dq_close(AF$6,$A127,1)</f>
        <v>852</v>
      </c>
      <c r="AG127" s="12">
        <f>[1]!s_dq_close($AG$6,$A127)</f>
        <v>-2730</v>
      </c>
      <c r="AH127" s="11">
        <f>[1]!s_dq_close($AH$6,A127)</f>
        <v>7.3090999999999999</v>
      </c>
    </row>
    <row r="128" spans="1:34">
      <c r="A128" s="5">
        <v>45200</v>
      </c>
      <c r="B128" s="6">
        <v>2.6751</v>
      </c>
      <c r="C128" s="6">
        <v>2.74</v>
      </c>
      <c r="D128" s="6">
        <v>2.7191000000000001</v>
      </c>
      <c r="E128" s="6">
        <v>4.59</v>
      </c>
      <c r="F128" s="6">
        <v>2.2570999999999999</v>
      </c>
      <c r="G128" s="6">
        <v>2.5510000000000002</v>
      </c>
      <c r="H128" s="6">
        <v>5.46</v>
      </c>
      <c r="I128" s="6">
        <v>2.2759</v>
      </c>
      <c r="J128" s="10">
        <v>2.2400000000000002</v>
      </c>
      <c r="K128" s="10">
        <v>206.64</v>
      </c>
      <c r="L128" s="10"/>
      <c r="M128" s="1" cm="1">
        <f t="array" ref="M128">[1]!s_val_pe_ttm(M$6,$A128)</f>
        <v>13.0746002197266</v>
      </c>
      <c r="N128" s="1" cm="1">
        <f t="array" ref="N128">[1]!s_val_pe_ttm(N$6,$A128)</f>
        <v>23.344499588012699</v>
      </c>
      <c r="O128" s="1" cm="1">
        <f t="array" ref="O128">[1]!s_val_pb_lf(O$6,$A128)</f>
        <v>1.29419994354248</v>
      </c>
      <c r="P128" s="1" cm="1">
        <f t="array" ref="P128">[1]!s_val_pb_lf(P$6,$A128)</f>
        <v>4.0138001441955602</v>
      </c>
      <c r="Q128" s="1">
        <f>[1]!cb_anal_convpremiumratio($Q$6,A128-2)</f>
        <v>0</v>
      </c>
      <c r="S128" s="1">
        <f>[1]!cb_anal_straightbondpremiumratio($S$6,A128-3)</f>
        <v>0</v>
      </c>
      <c r="T128" s="9" cm="1">
        <f t="array" ref="T128">[1]!s_dq_close(T$6,$A128,1)</f>
        <v>17.52</v>
      </c>
      <c r="U128" s="9" cm="1">
        <f t="array" ref="U128">[1]!s_dq_close(U$6,$A128,1)</f>
        <v>7.3002000000000002</v>
      </c>
      <c r="V128" s="9" cm="1">
        <f t="array" ref="V128">[1]!s_dq_close(V$6,$A128,1)</f>
        <v>106.1919</v>
      </c>
      <c r="W128" s="11" cm="1">
        <f t="array" ref="W128">[1]!s_dq_close(W$6,$A128,1)</f>
        <v>459.5</v>
      </c>
      <c r="X128" s="11" cm="1">
        <f t="array" ref="X128">[1]!s_dq_close(X$6,$A128,1)</f>
        <v>1864.6</v>
      </c>
      <c r="Y128" s="11" cm="1">
        <f t="array" ref="Y128">[1]!s_dq_close(Y$6,$A128,1)</f>
        <v>90.77</v>
      </c>
      <c r="Z128" s="11" cm="1">
        <f t="array" ref="Z128">[1]!s_dq_close(Z$6,$A128,1)</f>
        <v>92.11</v>
      </c>
      <c r="AA128" s="12" cm="1">
        <f t="array" ref="AA128">[1]!s_dq_oi(AA$6,$A128)</f>
        <v>1566592</v>
      </c>
      <c r="AB128" s="12" cm="1">
        <f t="array" ref="AB128">[1]!s_dq_close(AB$6,$A128,1)</f>
        <v>3996</v>
      </c>
      <c r="AC128" s="12" cm="1">
        <f t="array" ref="AC128">[1]!s_dq_close(AC$6,$A128,1)</f>
        <v>4651.71</v>
      </c>
      <c r="AD128" s="12" cm="1">
        <f t="array" ref="AD128">[1]!s_dq_close(AD$6,$A128,1)</f>
        <v>3690</v>
      </c>
      <c r="AE128" s="12" cm="1">
        <f t="array" ref="AE128">[1]!s_dq_close(AE$6,$A128,1)</f>
        <v>3795</v>
      </c>
      <c r="AF128" s="12" cm="1">
        <f t="array" ref="AF128">[1]!s_dq_close(AF$6,$A128,1)</f>
        <v>852</v>
      </c>
      <c r="AG128" s="12">
        <f>[1]!s_dq_close($AG$6,$A128)</f>
        <v>-2730</v>
      </c>
      <c r="AH128" s="11">
        <f>[1]!s_dq_close($AH$6,A128)</f>
        <v>7.2957000000000001</v>
      </c>
    </row>
    <row r="129" spans="1:34">
      <c r="A129" s="5">
        <v>45193</v>
      </c>
      <c r="B129" s="6">
        <v>2.6776</v>
      </c>
      <c r="C129" s="6">
        <v>2.7450000000000001</v>
      </c>
      <c r="D129" s="6">
        <v>2.6896</v>
      </c>
      <c r="E129" s="6">
        <v>4.4400000000000004</v>
      </c>
      <c r="F129" s="6">
        <v>2.2837999999999998</v>
      </c>
      <c r="G129" s="6">
        <v>2.5390000000000001</v>
      </c>
      <c r="H129" s="6">
        <v>5.46</v>
      </c>
      <c r="I129" s="6">
        <v>2.2843</v>
      </c>
      <c r="J129" s="10">
        <v>2.0699999999999998</v>
      </c>
      <c r="K129" s="10">
        <v>213.35</v>
      </c>
      <c r="L129" s="10"/>
      <c r="M129" s="1" cm="1">
        <f t="array" ref="M129">[1]!s_val_pe_ttm(M$6,$A129)</f>
        <v>13.163700103759799</v>
      </c>
      <c r="N129" s="1" cm="1">
        <f t="array" ref="N129">[1]!s_val_pe_ttm(N$6,$A129)</f>
        <v>23.451400756835898</v>
      </c>
      <c r="O129" s="1" cm="1">
        <f t="array" ref="O129">[1]!s_val_pb_lf(O$6,$A129)</f>
        <v>1.30330002307892</v>
      </c>
      <c r="P129" s="1" cm="1">
        <f t="array" ref="P129">[1]!s_val_pb_lf(P$6,$A129)</f>
        <v>4.0419001579284703</v>
      </c>
      <c r="Q129" s="1">
        <f>[1]!cb_anal_convpremiumratio($Q$6,A129-2)</f>
        <v>51.747687121212202</v>
      </c>
      <c r="S129" s="1">
        <f>[1]!cb_anal_straightbondpremiumratio($S$6,A129-3)</f>
        <v>0</v>
      </c>
      <c r="T129" s="9" cm="1">
        <f t="array" ref="T129">[1]!s_dq_close(T$6,$A129,1)</f>
        <v>17.2</v>
      </c>
      <c r="U129" s="9" cm="1">
        <f t="array" ref="U129">[1]!s_dq_close(U$6,$A129,1)</f>
        <v>7.3002000000000002</v>
      </c>
      <c r="V129" s="9" cm="1">
        <f t="array" ref="V129">[1]!s_dq_close(V$6,$A129,1)</f>
        <v>105.60980000000001</v>
      </c>
      <c r="W129" s="11" cm="1">
        <f t="array" ref="W129">[1]!s_dq_close(W$6,$A129,1)</f>
        <v>470.48</v>
      </c>
      <c r="X129" s="11" cm="1">
        <f t="array" ref="X129">[1]!s_dq_close(X$6,$A129,1)</f>
        <v>1944.9</v>
      </c>
      <c r="Y129" s="11" cm="1">
        <f t="array" ref="Y129">[1]!s_dq_close(Y$6,$A129,1)</f>
        <v>90.33</v>
      </c>
      <c r="Z129" s="11" cm="1">
        <f t="array" ref="Z129">[1]!s_dq_close(Z$6,$A129,1)</f>
        <v>92.43</v>
      </c>
      <c r="AA129" s="12" cm="1">
        <f t="array" ref="AA129">[1]!s_dq_oi(AA$6,$A129)</f>
        <v>1687627</v>
      </c>
      <c r="AB129" s="12" cm="1">
        <f t="array" ref="AB129">[1]!s_dq_close(AB$6,$A129,1)</f>
        <v>3962</v>
      </c>
      <c r="AC129" s="12" cm="1">
        <f t="array" ref="AC129">[1]!s_dq_close(AC$6,$A129,1)</f>
        <v>4668</v>
      </c>
      <c r="AD129" s="12" cm="1">
        <f t="array" ref="AD129">[1]!s_dq_close(AD$6,$A129,1)</f>
        <v>3779</v>
      </c>
      <c r="AE129" s="12" cm="1">
        <f t="array" ref="AE129">[1]!s_dq_close(AE$6,$A129,1)</f>
        <v>3863</v>
      </c>
      <c r="AF129" s="12" cm="1">
        <f t="array" ref="AF129">[1]!s_dq_close(AF$6,$A129,1)</f>
        <v>871.5</v>
      </c>
      <c r="AG129" s="12">
        <f>[1]!s_dq_close($AG$6,$A129)</f>
        <v>-2635</v>
      </c>
      <c r="AH129" s="11">
        <f>[1]!s_dq_close($AH$6,A129)</f>
        <v>7.2987000000000002</v>
      </c>
    </row>
    <row r="130" spans="1:34">
      <c r="A130" s="5">
        <v>45186</v>
      </c>
      <c r="B130" s="6">
        <v>2.64</v>
      </c>
      <c r="C130" s="6">
        <v>2.7075</v>
      </c>
      <c r="D130" s="6">
        <v>2.7010999999999998</v>
      </c>
      <c r="E130" s="6">
        <v>4.33</v>
      </c>
      <c r="F130" s="6">
        <v>2.238</v>
      </c>
      <c r="G130" s="6">
        <v>2.5472999999999999</v>
      </c>
      <c r="H130" s="6">
        <v>5.43</v>
      </c>
      <c r="I130" s="6">
        <v>2.2395</v>
      </c>
      <c r="J130" s="10">
        <v>1.98</v>
      </c>
      <c r="K130" s="10">
        <v>0</v>
      </c>
      <c r="L130" s="10"/>
      <c r="M130" s="1" cm="1">
        <f t="array" ref="M130">[1]!s_val_pe_ttm(M$6,$A130)</f>
        <v>13.0896997451782</v>
      </c>
      <c r="N130" s="1" cm="1">
        <f t="array" ref="N130">[1]!s_val_pe_ttm(N$6,$A130)</f>
        <v>24.218799591064499</v>
      </c>
      <c r="O130" s="1" cm="1">
        <f t="array" ref="O130">[1]!s_val_pb_lf(O$6,$A130)</f>
        <v>1.29540002346039</v>
      </c>
      <c r="P130" s="1" cm="1">
        <f t="array" ref="P130">[1]!s_val_pb_lf(P$6,$A130)</f>
        <v>4.1539001464843803</v>
      </c>
      <c r="Q130" s="1">
        <f>[1]!cb_anal_convpremiumratio($Q$6,A130-2)</f>
        <v>51.952894328922497</v>
      </c>
      <c r="S130" s="1">
        <f>[1]!cb_anal_straightbondpremiumratio($S$6,A130-3)</f>
        <v>0</v>
      </c>
      <c r="T130" s="9" cm="1">
        <f t="array" ref="T130">[1]!s_dq_close(T$6,$A130,1)</f>
        <v>13.79</v>
      </c>
      <c r="U130" s="9" cm="1">
        <f t="array" ref="U130">[1]!s_dq_close(U$6,$A130,1)</f>
        <v>7.2690999999999999</v>
      </c>
      <c r="V130" s="9" cm="1">
        <f t="array" ref="V130">[1]!s_dq_close(V$6,$A130,1)</f>
        <v>105.3359</v>
      </c>
      <c r="W130" s="11" cm="1">
        <f t="array" ref="W130">[1]!s_dq_close(W$6,$A130,1)</f>
        <v>469.72</v>
      </c>
      <c r="X130" s="11" cm="1">
        <f t="array" ref="X130">[1]!s_dq_close(X$6,$A130,1)</f>
        <v>1945.6</v>
      </c>
      <c r="Y130" s="11" cm="1">
        <f t="array" ref="Y130">[1]!s_dq_close(Y$6,$A130,1)</f>
        <v>91.2</v>
      </c>
      <c r="Z130" s="11" cm="1">
        <f t="array" ref="Z130">[1]!s_dq_close(Z$6,$A130,1)</f>
        <v>94.27</v>
      </c>
      <c r="AA130" s="12" cm="1">
        <f t="array" ref="AA130">[1]!s_dq_oi(AA$6,$A130)</f>
        <v>1726942</v>
      </c>
      <c r="AB130" s="12" cm="1">
        <f t="array" ref="AB130">[1]!s_dq_close(AB$6,$A130,1)</f>
        <v>4062</v>
      </c>
      <c r="AC130" s="12" cm="1">
        <f t="array" ref="AC130">[1]!s_dq_close(AC$6,$A130,1)</f>
        <v>4789.71</v>
      </c>
      <c r="AD130" s="12" cm="1">
        <f t="array" ref="AD130">[1]!s_dq_close(AD$6,$A130,1)</f>
        <v>3824</v>
      </c>
      <c r="AE130" s="12" cm="1">
        <f t="array" ref="AE130">[1]!s_dq_close(AE$6,$A130,1)</f>
        <v>3892</v>
      </c>
      <c r="AF130" s="12" cm="1">
        <f t="array" ref="AF130">[1]!s_dq_close(AF$6,$A130,1)</f>
        <v>879</v>
      </c>
      <c r="AG130" s="12">
        <f>[1]!s_dq_close($AG$6,$A130)</f>
        <v>-2558</v>
      </c>
      <c r="AH130" s="11">
        <f>[1]!s_dq_close($AH$6,A130)</f>
        <v>7.2807000000000004</v>
      </c>
    </row>
    <row r="131" spans="1:34">
      <c r="A131" s="5">
        <v>45179</v>
      </c>
      <c r="B131" s="6">
        <v>2.6375000000000002</v>
      </c>
      <c r="C131" s="6">
        <v>2.7612999999999999</v>
      </c>
      <c r="D131" s="6">
        <v>2.7504</v>
      </c>
      <c r="E131" s="6">
        <v>4.26</v>
      </c>
      <c r="F131" s="6">
        <v>2.2088999999999999</v>
      </c>
      <c r="G131" s="6">
        <v>2.6154999999999999</v>
      </c>
      <c r="H131" s="6">
        <v>5.42</v>
      </c>
      <c r="I131" s="6">
        <v>2.2511000000000001</v>
      </c>
      <c r="J131" s="10">
        <v>1.93</v>
      </c>
      <c r="K131" s="10">
        <v>215.88</v>
      </c>
      <c r="L131" s="10"/>
      <c r="M131" s="1" cm="1">
        <f t="array" ref="M131">[1]!s_val_pe_ttm(M$6,$A131)</f>
        <v>13.0426998138428</v>
      </c>
      <c r="N131" s="1" cm="1">
        <f t="array" ref="N131">[1]!s_val_pe_ttm(N$6,$A131)</f>
        <v>24.275800704956101</v>
      </c>
      <c r="O131" s="1" cm="1">
        <f t="array" ref="O131">[1]!s_val_pb_lf(O$6,$A131)</f>
        <v>1.29009997844696</v>
      </c>
      <c r="P131" s="1" cm="1">
        <f t="array" ref="P131">[1]!s_val_pb_lf(P$6,$A131)</f>
        <v>4.1602001190185502</v>
      </c>
      <c r="Q131" s="1">
        <f>[1]!cb_anal_convpremiumratio($Q$6,A131-2)</f>
        <v>52.1411079245282</v>
      </c>
      <c r="S131" s="1">
        <f>[1]!cb_anal_straightbondpremiumratio($S$6,A131-3)</f>
        <v>0</v>
      </c>
      <c r="T131" s="9" cm="1">
        <f t="array" ref="T131">[1]!s_dq_close(T$6,$A131,1)</f>
        <v>13.84</v>
      </c>
      <c r="U131" s="9" cm="1">
        <f t="array" ref="U131">[1]!s_dq_close(U$6,$A131,1)</f>
        <v>7.3414999999999999</v>
      </c>
      <c r="V131" s="9" cm="1">
        <f t="array" ref="V131">[1]!s_dq_close(V$6,$A131,1)</f>
        <v>105.065</v>
      </c>
      <c r="W131" s="11" cm="1">
        <f t="array" ref="W131">[1]!s_dq_close(W$6,$A131,1)</f>
        <v>466.84</v>
      </c>
      <c r="X131" s="11" cm="1">
        <f t="array" ref="X131">[1]!s_dq_close(X$6,$A131,1)</f>
        <v>1942.6</v>
      </c>
      <c r="Y131" s="11" cm="1">
        <f t="array" ref="Y131">[1]!s_dq_close(Y$6,$A131,1)</f>
        <v>87.23</v>
      </c>
      <c r="Z131" s="11" cm="1">
        <f t="array" ref="Z131">[1]!s_dq_close(Z$6,$A131,1)</f>
        <v>90.44</v>
      </c>
      <c r="AA131" s="12" cm="1">
        <f t="array" ref="AA131">[1]!s_dq_oi(AA$6,$A131)</f>
        <v>1773316</v>
      </c>
      <c r="AB131" s="12" cm="1">
        <f t="array" ref="AB131">[1]!s_dq_close(AB$6,$A131,1)</f>
        <v>4062</v>
      </c>
      <c r="AC131" s="12" cm="1">
        <f t="array" ref="AC131">[1]!s_dq_close(AC$6,$A131,1)</f>
        <v>4880.8599999999997</v>
      </c>
      <c r="AD131" s="12" cm="1">
        <f t="array" ref="AD131">[1]!s_dq_close(AD$6,$A131,1)</f>
        <v>3717</v>
      </c>
      <c r="AE131" s="12" cm="1">
        <f t="array" ref="AE131">[1]!s_dq_close(AE$6,$A131,1)</f>
        <v>3809</v>
      </c>
      <c r="AF131" s="12" cm="1">
        <f t="array" ref="AF131">[1]!s_dq_close(AF$6,$A131,1)</f>
        <v>827.5</v>
      </c>
      <c r="AG131" s="12">
        <f>[1]!s_dq_close($AG$6,$A131)</f>
        <v>-2600</v>
      </c>
      <c r="AH131" s="11">
        <f>[1]!s_dq_close($AH$6,A131)</f>
        <v>7.3650000000000002</v>
      </c>
    </row>
    <row r="132" spans="1:34">
      <c r="A132" s="5">
        <v>45172</v>
      </c>
      <c r="B132" s="6">
        <v>2.585</v>
      </c>
      <c r="C132" s="6">
        <v>2.7212000000000001</v>
      </c>
      <c r="D132" s="6">
        <v>2.5678000000000001</v>
      </c>
      <c r="E132" s="6">
        <v>4.18</v>
      </c>
      <c r="F132" s="6">
        <v>2.0857000000000001</v>
      </c>
      <c r="G132" s="6">
        <v>2.4058000000000002</v>
      </c>
      <c r="H132" s="6">
        <v>5.36</v>
      </c>
      <c r="I132" s="6">
        <v>2.1764999999999999</v>
      </c>
      <c r="J132" s="10">
        <v>1.92</v>
      </c>
      <c r="K132" s="10">
        <v>204.56</v>
      </c>
      <c r="L132" s="10"/>
      <c r="M132" s="1" cm="1">
        <f t="array" ref="M132">[1]!s_val_pe_ttm(M$6,$A132)</f>
        <v>13.0913000106812</v>
      </c>
      <c r="N132" s="1" cm="1">
        <f t="array" ref="N132">[1]!s_val_pe_ttm(N$6,$A132)</f>
        <v>24.552000045776399</v>
      </c>
      <c r="O132" s="1" cm="1">
        <f t="array" ref="O132">[1]!s_val_pb_lf(O$6,$A132)</f>
        <v>1.29499995708466</v>
      </c>
      <c r="P132" s="1" cm="1">
        <f t="array" ref="P132">[1]!s_val_pb_lf(P$6,$A132)</f>
        <v>4.2097001075744602</v>
      </c>
      <c r="Q132" s="1">
        <f>[1]!cb_anal_convpremiumratio($Q$6,A132-2)</f>
        <v>53.904402452830197</v>
      </c>
      <c r="S132" s="1">
        <f>[1]!cb_anal_straightbondpremiumratio($S$6,A132-3)</f>
        <v>0</v>
      </c>
      <c r="T132" s="9" cm="1">
        <f t="array" ref="T132">[1]!s_dq_close(T$6,$A132,1)</f>
        <v>13.09</v>
      </c>
      <c r="U132" s="9" cm="1">
        <f t="array" ref="U132">[1]!s_dq_close(U$6,$A132,1)</f>
        <v>7.2633000000000001</v>
      </c>
      <c r="V132" s="9" cm="1">
        <f t="array" ref="V132">[1]!s_dq_close(V$6,$A132,1)</f>
        <v>104.27549999999999</v>
      </c>
      <c r="W132" s="11" cm="1">
        <f t="array" ref="W132">[1]!s_dq_close(W$6,$A132,1)</f>
        <v>462.46</v>
      </c>
      <c r="X132" s="11" cm="1">
        <f t="array" ref="X132">[1]!s_dq_close(X$6,$A132,1)</f>
        <v>1966.2</v>
      </c>
      <c r="Y132" s="11" cm="1">
        <f t="array" ref="Y132">[1]!s_dq_close(Y$6,$A132,1)</f>
        <v>86.05</v>
      </c>
      <c r="Z132" s="11" cm="1">
        <f t="array" ref="Z132">[1]!s_dq_close(Z$6,$A132,1)</f>
        <v>88.99</v>
      </c>
      <c r="AA132" s="12" cm="1">
        <f t="array" ref="AA132">[1]!s_dq_oi(AA$6,$A132)</f>
        <v>1856922</v>
      </c>
      <c r="AB132" s="12" cm="1">
        <f t="array" ref="AB132">[1]!s_dq_close(AB$6,$A132,1)</f>
        <v>4105</v>
      </c>
      <c r="AC132" s="12" cm="1">
        <f t="array" ref="AC132">[1]!s_dq_close(AC$6,$A132,1)</f>
        <v>4982.29</v>
      </c>
      <c r="AD132" s="12" cm="1">
        <f t="array" ref="AD132">[1]!s_dq_close(AD$6,$A132,1)</f>
        <v>3778</v>
      </c>
      <c r="AE132" s="12" cm="1">
        <f t="array" ref="AE132">[1]!s_dq_close(AE$6,$A132,1)</f>
        <v>3935</v>
      </c>
      <c r="AF132" s="12" cm="1">
        <f t="array" ref="AF132">[1]!s_dq_close(AF$6,$A132,1)</f>
        <v>845.5</v>
      </c>
      <c r="AG132" s="12">
        <f>[1]!s_dq_close($AG$6,$A132)</f>
        <v>-2544</v>
      </c>
      <c r="AH132" s="11">
        <f>[1]!s_dq_close($AH$6,A132)</f>
        <v>7.2706999999999997</v>
      </c>
    </row>
    <row r="133" spans="1:34">
      <c r="A133" s="5">
        <v>45165</v>
      </c>
      <c r="B133" s="6">
        <v>2.5701999999999998</v>
      </c>
      <c r="C133" s="6">
        <v>2.673</v>
      </c>
      <c r="D133" s="6">
        <v>2.5019999999999998</v>
      </c>
      <c r="E133" s="6">
        <v>4.25</v>
      </c>
      <c r="F133" s="6">
        <v>2.0505</v>
      </c>
      <c r="G133" s="6">
        <v>2.3195999999999999</v>
      </c>
      <c r="H133" s="6">
        <v>5.44</v>
      </c>
      <c r="I133" s="6">
        <v>2.1503999999999999</v>
      </c>
      <c r="J133" s="10">
        <v>1.92</v>
      </c>
      <c r="K133" s="10">
        <v>0</v>
      </c>
      <c r="L133" s="10"/>
      <c r="M133" s="1" cm="1">
        <f t="array" ref="M133">[1]!s_val_pe_ttm(M$6,$A133)</f>
        <v>12.706500053405801</v>
      </c>
      <c r="N133" s="1" cm="1">
        <f t="array" ref="N133">[1]!s_val_pe_ttm(N$6,$A133)</f>
        <v>23.941799163818398</v>
      </c>
      <c r="O133" s="1" cm="1">
        <f t="array" ref="O133">[1]!s_val_pb_lf(O$6,$A133)</f>
        <v>1.2874000072479199</v>
      </c>
      <c r="P133" s="1" cm="1">
        <f t="array" ref="P133">[1]!s_val_pb_lf(P$6,$A133)</f>
        <v>4.10379981994629</v>
      </c>
      <c r="Q133" s="1">
        <f>[1]!cb_anal_convpremiumratio($Q$6,A133-2)</f>
        <v>57.487015863453799</v>
      </c>
      <c r="S133" s="1">
        <f>[1]!cb_anal_straightbondpremiumratio($S$6,A133-3)</f>
        <v>0</v>
      </c>
      <c r="T133" s="9" cm="1">
        <f t="array" ref="T133">[1]!s_dq_close(T$6,$A133,1)</f>
        <v>15.68</v>
      </c>
      <c r="U133" s="9" cm="1">
        <f t="array" ref="U133">[1]!s_dq_close(U$6,$A133,1)</f>
        <v>7.2884000000000002</v>
      </c>
      <c r="V133" s="9" cm="1">
        <f t="array" ref="V133">[1]!s_dq_close(V$6,$A133,1)</f>
        <v>104.1939</v>
      </c>
      <c r="W133" s="11" cm="1">
        <f t="array" ref="W133">[1]!s_dq_close(W$6,$A133,1)</f>
        <v>458.5</v>
      </c>
      <c r="X133" s="11" cm="1">
        <f t="array" ref="X133">[1]!s_dq_close(X$6,$A133,1)</f>
        <v>1943.3</v>
      </c>
      <c r="Y133" s="11" cm="1">
        <f t="array" ref="Y133">[1]!s_dq_close(Y$6,$A133,1)</f>
        <v>80.05</v>
      </c>
      <c r="Z133" s="11" cm="1">
        <f t="array" ref="Z133">[1]!s_dq_close(Z$6,$A133,1)</f>
        <v>84.3</v>
      </c>
      <c r="AA133" s="12" cm="1">
        <f t="array" ref="AA133">[1]!s_dq_oi(AA$6,$A133)</f>
        <v>1835330</v>
      </c>
      <c r="AB133" s="12" cm="1">
        <f t="array" ref="AB133">[1]!s_dq_close(AB$6,$A133,1)</f>
        <v>4075</v>
      </c>
      <c r="AC133" s="12" cm="1">
        <f t="array" ref="AC133">[1]!s_dq_close(AC$6,$A133,1)</f>
        <v>4968.8599999999997</v>
      </c>
      <c r="AD133" s="12" cm="1">
        <f t="array" ref="AD133">[1]!s_dq_close(AD$6,$A133,1)</f>
        <v>3716</v>
      </c>
      <c r="AE133" s="12" cm="1">
        <f t="array" ref="AE133">[1]!s_dq_close(AE$6,$A133,1)</f>
        <v>3917</v>
      </c>
      <c r="AF133" s="12" cm="1">
        <f t="array" ref="AF133">[1]!s_dq_close(AF$6,$A133,1)</f>
        <v>827</v>
      </c>
      <c r="AG133" s="12">
        <f>[1]!s_dq_close($AG$6,$A133)</f>
        <v>-2595</v>
      </c>
      <c r="AH133" s="11">
        <f>[1]!s_dq_close($AH$6,A133)</f>
        <v>7.2949000000000002</v>
      </c>
    </row>
    <row r="134" spans="1:34">
      <c r="A134" s="5">
        <v>45158</v>
      </c>
      <c r="B134" s="6">
        <v>2.5638999999999998</v>
      </c>
      <c r="C134" s="6">
        <v>2.6739000000000002</v>
      </c>
      <c r="D134" s="6">
        <v>2.4900000000000002</v>
      </c>
      <c r="E134" s="6">
        <v>4.26</v>
      </c>
      <c r="F134" s="6">
        <v>1.9705999999999999</v>
      </c>
      <c r="G134" s="6">
        <v>2.2911000000000001</v>
      </c>
      <c r="H134" s="6">
        <v>5.35</v>
      </c>
      <c r="I134" s="6">
        <v>2.1175999999999999</v>
      </c>
      <c r="J134" s="10">
        <v>1.94</v>
      </c>
      <c r="K134" s="10">
        <v>221.5</v>
      </c>
      <c r="L134" s="10"/>
      <c r="M134" s="1" cm="1">
        <f t="array" ref="M134">[1]!s_val_pe_ttm(M$6,$A134)</f>
        <v>12.8016004562378</v>
      </c>
      <c r="N134" s="1" cm="1">
        <f t="array" ref="N134">[1]!s_val_pe_ttm(N$6,$A134)</f>
        <v>23.802000045776399</v>
      </c>
      <c r="O134" s="1" cm="1">
        <f t="array" ref="O134">[1]!s_val_pb_lf(O$6,$A134)</f>
        <v>1.3147000074386599</v>
      </c>
      <c r="P134" s="1" cm="1">
        <f t="array" ref="P134">[1]!s_val_pb_lf(P$6,$A134)</f>
        <v>4.0687999725341797</v>
      </c>
      <c r="Q134" s="1">
        <f>[1]!cb_anal_convpremiumratio($Q$6,A134-2)</f>
        <v>53.657655421686698</v>
      </c>
      <c r="S134" s="1">
        <f>[1]!cb_anal_straightbondpremiumratio($S$6,A134-3)</f>
        <v>0</v>
      </c>
      <c r="T134" s="9" cm="1">
        <f t="array" ref="T134">[1]!s_dq_close(T$6,$A134,1)</f>
        <v>17.3</v>
      </c>
      <c r="U134" s="9" cm="1">
        <f t="array" ref="U134">[1]!s_dq_close(U$6,$A134,1)</f>
        <v>7.2896000000000001</v>
      </c>
      <c r="V134" s="9" cm="1">
        <f t="array" ref="V134">[1]!s_dq_close(V$6,$A134,1)</f>
        <v>103.44329999999999</v>
      </c>
      <c r="W134" s="11" cm="1">
        <f t="array" ref="W134">[1]!s_dq_close(W$6,$A134,1)</f>
        <v>455.1</v>
      </c>
      <c r="X134" s="11" cm="1">
        <f t="array" ref="X134">[1]!s_dq_close(X$6,$A134,1)</f>
        <v>1918.4</v>
      </c>
      <c r="Y134" s="11" cm="1">
        <f t="array" ref="Y134">[1]!s_dq_close(Y$6,$A134,1)</f>
        <v>80.73</v>
      </c>
      <c r="Z134" s="11" cm="1">
        <f t="array" ref="Z134">[1]!s_dq_close(Z$6,$A134,1)</f>
        <v>84.83</v>
      </c>
      <c r="AA134" s="12" cm="1">
        <f t="array" ref="AA134">[1]!s_dq_oi(AA$6,$A134)</f>
        <v>1766131</v>
      </c>
      <c r="AB134" s="12" cm="1">
        <f t="array" ref="AB134">[1]!s_dq_close(AB$6,$A134,1)</f>
        <v>4010</v>
      </c>
      <c r="AC134" s="12" cm="1">
        <f t="array" ref="AC134">[1]!s_dq_close(AC$6,$A134,1)</f>
        <v>4847.43</v>
      </c>
      <c r="AD134" s="12" cm="1">
        <f t="array" ref="AD134">[1]!s_dq_close(AD$6,$A134,1)</f>
        <v>3700</v>
      </c>
      <c r="AE134" s="12" cm="1">
        <f t="array" ref="AE134">[1]!s_dq_close(AE$6,$A134,1)</f>
        <v>3905</v>
      </c>
      <c r="AF134" s="12" cm="1">
        <f t="array" ref="AF134">[1]!s_dq_close(AF$6,$A134,1)</f>
        <v>771.5</v>
      </c>
      <c r="AG134" s="12">
        <f>[1]!s_dq_close($AG$6,$A134)</f>
        <v>-2551</v>
      </c>
      <c r="AH134" s="11">
        <f>[1]!s_dq_close($AH$6,A134)</f>
        <v>7.3076999999999996</v>
      </c>
    </row>
    <row r="135" spans="1:34">
      <c r="A135" s="5">
        <v>45151</v>
      </c>
      <c r="B135" s="6">
        <v>2.6381000000000001</v>
      </c>
      <c r="C135" s="6">
        <v>2.7376999999999998</v>
      </c>
      <c r="D135" s="6">
        <v>2.5604</v>
      </c>
      <c r="E135" s="6">
        <v>4.16</v>
      </c>
      <c r="F135" s="6">
        <v>1.996</v>
      </c>
      <c r="G135" s="6">
        <v>2.3222999999999998</v>
      </c>
      <c r="H135" s="6">
        <v>5.36</v>
      </c>
      <c r="I135" s="6">
        <v>2.1469999999999998</v>
      </c>
      <c r="J135" s="10">
        <v>1.8</v>
      </c>
      <c r="K135" s="10">
        <v>215.27</v>
      </c>
      <c r="L135" s="10"/>
      <c r="M135" s="1" cm="1">
        <f t="array" ref="M135">[1]!s_val_pe_ttm(M$6,$A135)</f>
        <v>12.942299842834499</v>
      </c>
      <c r="N135" s="1" cm="1">
        <f t="array" ref="N135">[1]!s_val_pe_ttm(N$6,$A135)</f>
        <v>24.391399383544901</v>
      </c>
      <c r="O135" s="1" cm="1">
        <f t="array" ref="O135">[1]!s_val_pb_lf(O$6,$A135)</f>
        <v>1.3365000486373899</v>
      </c>
      <c r="P135" s="1" cm="1">
        <f t="array" ref="P135">[1]!s_val_pb_lf(P$6,$A135)</f>
        <v>4.1616997718811</v>
      </c>
      <c r="Q135" s="1">
        <f>[1]!cb_anal_convpremiumratio($Q$6,A135-2)</f>
        <v>51.569480120481899</v>
      </c>
      <c r="S135" s="1">
        <f>[1]!cb_anal_straightbondpremiumratio($S$6,A135-3)</f>
        <v>0</v>
      </c>
      <c r="T135" s="9" cm="1">
        <f t="array" ref="T135">[1]!s_dq_close(T$6,$A135,1)</f>
        <v>14.84</v>
      </c>
      <c r="U135" s="9" cm="1">
        <f t="array" ref="U135">[1]!s_dq_close(U$6,$A135,1)</f>
        <v>7.234</v>
      </c>
      <c r="V135" s="9" cm="1">
        <f t="array" ref="V135">[1]!s_dq_close(V$6,$A135,1)</f>
        <v>102.877</v>
      </c>
      <c r="W135" s="11" cm="1">
        <f t="array" ref="W135">[1]!s_dq_close(W$6,$A135,1)</f>
        <v>455.56</v>
      </c>
      <c r="X135" s="11" cm="1">
        <f t="array" ref="X135">[1]!s_dq_close(X$6,$A135,1)</f>
        <v>1945.7</v>
      </c>
      <c r="Y135" s="11" cm="1">
        <f t="array" ref="Y135">[1]!s_dq_close(Y$6,$A135,1)</f>
        <v>83.04</v>
      </c>
      <c r="Z135" s="11" cm="1">
        <f t="array" ref="Z135">[1]!s_dq_close(Z$6,$A135,1)</f>
        <v>86.73</v>
      </c>
      <c r="AA135" s="12" cm="1">
        <f t="array" ref="AA135">[1]!s_dq_oi(AA$6,$A135)</f>
        <v>628233</v>
      </c>
      <c r="AB135" s="12" cm="1">
        <f t="array" ref="AB135">[1]!s_dq_close(AB$6,$A135,1)</f>
        <v>4487</v>
      </c>
      <c r="AC135" s="12" cm="1">
        <f t="array" ref="AC135">[1]!s_dq_close(AC$6,$A135,1)</f>
        <v>4671.43</v>
      </c>
      <c r="AD135" s="12" cm="1">
        <f t="array" ref="AD135">[1]!s_dq_close(AD$6,$A135,1)</f>
        <v>3691</v>
      </c>
      <c r="AE135" s="12" cm="1">
        <f t="array" ref="AE135">[1]!s_dq_close(AE$6,$A135,1)</f>
        <v>3937</v>
      </c>
      <c r="AF135" s="12" cm="1">
        <f t="array" ref="AF135">[1]!s_dq_close(AF$6,$A135,1)</f>
        <v>739</v>
      </c>
      <c r="AG135" s="12">
        <f>[1]!s_dq_close($AG$6,$A135)</f>
        <v>-2470</v>
      </c>
      <c r="AH135" s="11">
        <f>[1]!s_dq_close($AH$6,A135)</f>
        <v>7.2609000000000004</v>
      </c>
    </row>
    <row r="136" spans="1:34">
      <c r="A136" s="5">
        <v>45144</v>
      </c>
      <c r="B136" s="6">
        <v>2.6469</v>
      </c>
      <c r="C136" s="6">
        <v>2.7465999999999999</v>
      </c>
      <c r="D136" s="6">
        <v>2.6137000000000001</v>
      </c>
      <c r="E136" s="6">
        <v>4.05</v>
      </c>
      <c r="F136" s="6">
        <v>2.0059999999999998</v>
      </c>
      <c r="G136" s="6">
        <v>2.3776000000000002</v>
      </c>
      <c r="H136" s="6">
        <v>5.33</v>
      </c>
      <c r="I136" s="6">
        <v>2.1301000000000001</v>
      </c>
      <c r="J136" s="10">
        <v>1.67</v>
      </c>
      <c r="K136" s="10">
        <v>213.56</v>
      </c>
      <c r="L136" s="10"/>
      <c r="M136" s="1" cm="1">
        <f t="array" ref="M136">[1]!s_val_pe_ttm(M$6,$A136)</f>
        <v>13.311499595642101</v>
      </c>
      <c r="N136" s="1" cm="1">
        <f t="array" ref="N136">[1]!s_val_pe_ttm(N$6,$A136)</f>
        <v>25.565900802612301</v>
      </c>
      <c r="O136" s="1" cm="1">
        <f t="array" ref="O136">[1]!s_val_pb_lf(O$6,$A136)</f>
        <v>1.3760999441146899</v>
      </c>
      <c r="P136" s="1" cm="1">
        <f t="array" ref="P136">[1]!s_val_pb_lf(P$6,$A136)</f>
        <v>4.1861000061035201</v>
      </c>
      <c r="Q136" s="1">
        <f>[1]!cb_anal_convpremiumratio($Q$6,A136-2)</f>
        <v>48.791481124497999</v>
      </c>
      <c r="S136" s="1">
        <f>[1]!cb_anal_straightbondpremiumratio($S$6,A136-3)</f>
        <v>0</v>
      </c>
      <c r="T136" s="9" cm="1">
        <f t="array" ref="T136">[1]!s_dq_close(T$6,$A136,1)</f>
        <v>17.100000000000001</v>
      </c>
      <c r="U136" s="9" cm="1">
        <f t="array" ref="U136">[1]!s_dq_close(U$6,$A136,1)</f>
        <v>7.1802000000000001</v>
      </c>
      <c r="V136" s="9" cm="1">
        <f t="array" ref="V136">[1]!s_dq_close(V$6,$A136,1)</f>
        <v>102.00369999999999</v>
      </c>
      <c r="W136" s="11" cm="1">
        <f t="array" ref="W136">[1]!s_dq_close(W$6,$A136,1)</f>
        <v>454.4</v>
      </c>
      <c r="X136" s="11" cm="1">
        <f t="array" ref="X136">[1]!s_dq_close(X$6,$A136,1)</f>
        <v>1978.2</v>
      </c>
      <c r="Y136" s="11" cm="1">
        <f t="array" ref="Y136">[1]!s_dq_close(Y$6,$A136,1)</f>
        <v>82.64</v>
      </c>
      <c r="Z136" s="11" cm="1">
        <f t="array" ref="Z136">[1]!s_dq_close(Z$6,$A136,1)</f>
        <v>86.15</v>
      </c>
      <c r="AA136" s="12" cm="1">
        <f t="array" ref="AA136">[1]!s_dq_oi(AA$6,$A136)</f>
        <v>883053</v>
      </c>
      <c r="AB136" s="12" cm="1">
        <f t="array" ref="AB136">[1]!s_dq_close(AB$6,$A136,1)</f>
        <v>4349</v>
      </c>
      <c r="AC136" s="12" cm="1">
        <f t="array" ref="AC136">[1]!s_dq_close(AC$6,$A136,1)</f>
        <v>4522.29</v>
      </c>
      <c r="AD136" s="12" cm="1">
        <f t="array" ref="AD136">[1]!s_dq_close(AD$6,$A136,1)</f>
        <v>3736</v>
      </c>
      <c r="AE136" s="12" cm="1">
        <f t="array" ref="AE136">[1]!s_dq_close(AE$6,$A136,1)</f>
        <v>3990</v>
      </c>
      <c r="AF136" s="12" cm="1">
        <f t="array" ref="AF136">[1]!s_dq_close(AF$6,$A136,1)</f>
        <v>817.5</v>
      </c>
      <c r="AG136" s="12">
        <f>[1]!s_dq_close($AG$6,$A136)</f>
        <v>-2499</v>
      </c>
      <c r="AH136" s="11">
        <f>[1]!s_dq_close($AH$6,A136)</f>
        <v>7.1882999999999999</v>
      </c>
    </row>
    <row r="137" spans="1:34">
      <c r="A137" s="5">
        <v>45137</v>
      </c>
      <c r="B137" s="6">
        <v>2.6533000000000002</v>
      </c>
      <c r="C137" s="6">
        <v>2.7629999999999999</v>
      </c>
      <c r="D137" s="6">
        <v>2.6276000000000002</v>
      </c>
      <c r="E137" s="6">
        <v>3.96</v>
      </c>
      <c r="F137" s="6">
        <v>2.0405000000000002</v>
      </c>
      <c r="G137" s="6">
        <v>2.4157000000000002</v>
      </c>
      <c r="H137" s="6">
        <v>5.37</v>
      </c>
      <c r="I137" s="6">
        <v>2.1560999999999999</v>
      </c>
      <c r="J137" s="10">
        <v>1.58</v>
      </c>
      <c r="K137" s="10">
        <v>0</v>
      </c>
      <c r="L137" s="10"/>
      <c r="M137" s="1" cm="1">
        <f t="array" ref="M137">[1]!s_val_pe_ttm(M$6,$A137)</f>
        <v>13.274900436401399</v>
      </c>
      <c r="N137" s="1" cm="1">
        <f t="array" ref="N137">[1]!s_val_pe_ttm(N$6,$A137)</f>
        <v>25.8495998382568</v>
      </c>
      <c r="O137" s="1" cm="1">
        <f t="array" ref="O137">[1]!s_val_pb_lf(O$6,$A137)</f>
        <v>1.3722000122070299</v>
      </c>
      <c r="P137" s="1" cm="1">
        <f t="array" ref="P137">[1]!s_val_pb_lf(P$6,$A137)</f>
        <v>4.2934999465942401</v>
      </c>
      <c r="Q137" s="1">
        <f>[1]!cb_anal_convpremiumratio($Q$6,A137-2)</f>
        <v>49.1965532921811</v>
      </c>
      <c r="S137" s="1">
        <f>[1]!cb_anal_straightbondpremiumratio($S$6,A137-3)</f>
        <v>0</v>
      </c>
      <c r="T137" s="9" cm="1">
        <f t="array" ref="T137">[1]!s_dq_close(T$6,$A137,1)</f>
        <v>13.33</v>
      </c>
      <c r="U137" s="9" cm="1">
        <f t="array" ref="U137">[1]!s_dq_close(U$6,$A137,1)</f>
        <v>7.1645000000000003</v>
      </c>
      <c r="V137" s="9" cm="1">
        <f t="array" ref="V137">[1]!s_dq_close(V$6,$A137,1)</f>
        <v>101.71299999999999</v>
      </c>
      <c r="W137" s="11" cm="1">
        <f t="array" ref="W137">[1]!s_dq_close(W$6,$A137,1)</f>
        <v>456.3</v>
      </c>
      <c r="X137" s="11" cm="1">
        <f t="array" ref="X137">[1]!s_dq_close(X$6,$A137,1)</f>
        <v>1958.8</v>
      </c>
      <c r="Y137" s="11" cm="1">
        <f t="array" ref="Y137">[1]!s_dq_close(Y$6,$A137,1)</f>
        <v>80.67</v>
      </c>
      <c r="Z137" s="11" cm="1">
        <f t="array" ref="Z137">[1]!s_dq_close(Z$6,$A137,1)</f>
        <v>84.29</v>
      </c>
      <c r="AA137" s="12" cm="1">
        <f t="array" ref="AA137">[1]!s_dq_oi(AA$6,$A137)</f>
        <v>1154936</v>
      </c>
      <c r="AB137" s="12" cm="1">
        <f t="array" ref="AB137">[1]!s_dq_close(AB$6,$A137,1)</f>
        <v>4274</v>
      </c>
      <c r="AC137" s="12" cm="1">
        <f t="array" ref="AC137">[1]!s_dq_close(AC$6,$A137,1)</f>
        <v>4491.1400000000003</v>
      </c>
      <c r="AD137" s="12" cm="1">
        <f t="array" ref="AD137">[1]!s_dq_close(AD$6,$A137,1)</f>
        <v>3851</v>
      </c>
      <c r="AE137" s="12" cm="1">
        <f t="array" ref="AE137">[1]!s_dq_close(AE$6,$A137,1)</f>
        <v>4117</v>
      </c>
      <c r="AF137" s="12" cm="1">
        <f t="array" ref="AF137">[1]!s_dq_close(AF$6,$A137,1)</f>
        <v>834.5</v>
      </c>
      <c r="AG137" s="12">
        <f>[1]!s_dq_close($AG$6,$A137)</f>
        <v>-2441.5</v>
      </c>
      <c r="AH137" s="11">
        <f>[1]!s_dq_close($AH$6,A137)</f>
        <v>7.1534000000000004</v>
      </c>
    </row>
    <row r="138" spans="1:34">
      <c r="A138" s="5">
        <v>45130</v>
      </c>
      <c r="B138" s="6">
        <v>2.6078999999999999</v>
      </c>
      <c r="C138" s="6">
        <v>2.7280000000000002</v>
      </c>
      <c r="D138" s="6">
        <v>2.5577999999999999</v>
      </c>
      <c r="E138" s="6">
        <v>3.84</v>
      </c>
      <c r="F138" s="6">
        <v>2.0655000000000001</v>
      </c>
      <c r="G138" s="6">
        <v>2.3569</v>
      </c>
      <c r="H138" s="6">
        <v>5.35</v>
      </c>
      <c r="I138" s="6">
        <v>2.1171000000000002</v>
      </c>
      <c r="J138" s="10">
        <v>1.49</v>
      </c>
      <c r="K138" s="10">
        <v>224.78</v>
      </c>
      <c r="L138" s="10"/>
      <c r="M138" s="1" cm="1">
        <f t="array" ref="M138">[1]!s_val_pe_ttm(M$6,$A138)</f>
        <v>12.822400093078601</v>
      </c>
      <c r="N138" s="1" cm="1">
        <f t="array" ref="N138">[1]!s_val_pe_ttm(N$6,$A138)</f>
        <v>25.488899230956999</v>
      </c>
      <c r="O138" s="1" cm="1">
        <f t="array" ref="O138">[1]!s_val_pb_lf(O$6,$A138)</f>
        <v>1.3240000009536701</v>
      </c>
      <c r="P138" s="1" cm="1">
        <f t="array" ref="P138">[1]!s_val_pb_lf(P$6,$A138)</f>
        <v>4.2638001441955602</v>
      </c>
      <c r="Q138" s="1">
        <f>[1]!cb_anal_convpremiumratio($Q$6,A138-2)</f>
        <v>49.665016973415099</v>
      </c>
      <c r="S138" s="1">
        <f>[1]!cb_anal_straightbondpremiumratio($S$6,A138-3)</f>
        <v>0</v>
      </c>
      <c r="T138" s="9" cm="1">
        <f t="array" ref="T138">[1]!s_dq_close(T$6,$A138,1)</f>
        <v>13.6</v>
      </c>
      <c r="U138" s="9" cm="1">
        <f t="array" ref="U138">[1]!s_dq_close(U$6,$A138,1)</f>
        <v>7.1790000000000003</v>
      </c>
      <c r="V138" s="9" cm="1">
        <f t="array" ref="V138">[1]!s_dq_close(V$6,$A138,1)</f>
        <v>101.0857</v>
      </c>
      <c r="W138" s="11" cm="1">
        <f t="array" ref="W138">[1]!s_dq_close(W$6,$A138,1)</f>
        <v>459.3</v>
      </c>
      <c r="X138" s="11" cm="1">
        <f t="array" ref="X138">[1]!s_dq_close(X$6,$A138,1)</f>
        <v>1963.9</v>
      </c>
      <c r="Y138" s="11" cm="1">
        <f t="array" ref="Y138">[1]!s_dq_close(Y$6,$A138,1)</f>
        <v>76.83</v>
      </c>
      <c r="Z138" s="11" cm="1">
        <f t="array" ref="Z138">[1]!s_dq_close(Z$6,$A138,1)</f>
        <v>80.89</v>
      </c>
      <c r="AA138" s="12" cm="1">
        <f t="array" ref="AA138">[1]!s_dq_oi(AA$6,$A138)</f>
        <v>1278911</v>
      </c>
      <c r="AB138" s="12" cm="1">
        <f t="array" ref="AB138">[1]!s_dq_close(AB$6,$A138,1)</f>
        <v>4156</v>
      </c>
      <c r="AC138" s="12" cm="1">
        <f t="array" ref="AC138">[1]!s_dq_close(AC$6,$A138,1)</f>
        <v>4386.29</v>
      </c>
      <c r="AD138" s="12" cm="1">
        <f t="array" ref="AD138">[1]!s_dq_close(AD$6,$A138,1)</f>
        <v>3823</v>
      </c>
      <c r="AE138" s="12" cm="1">
        <f t="array" ref="AE138">[1]!s_dq_close(AE$6,$A138,1)</f>
        <v>3933</v>
      </c>
      <c r="AF138" s="12" cm="1">
        <f t="array" ref="AF138">[1]!s_dq_close(AF$6,$A138,1)</f>
        <v>846.5</v>
      </c>
      <c r="AG138" s="12">
        <f>[1]!s_dq_close($AG$6,$A138)</f>
        <v>-2465</v>
      </c>
      <c r="AH138" s="11">
        <f>[1]!s_dq_close($AH$6,A138)</f>
        <v>7.1894999999999998</v>
      </c>
    </row>
    <row r="139" spans="1:34">
      <c r="A139" s="5">
        <v>45123</v>
      </c>
      <c r="B139" s="6">
        <v>2.6444000000000001</v>
      </c>
      <c r="C139" s="6">
        <v>2.7664</v>
      </c>
      <c r="D139" s="6">
        <v>2.5891999999999999</v>
      </c>
      <c r="E139" s="6">
        <v>3.83</v>
      </c>
      <c r="F139" s="6">
        <v>2.0954999999999999</v>
      </c>
      <c r="G139" s="6">
        <v>2.4013</v>
      </c>
      <c r="H139" s="6">
        <v>5.34</v>
      </c>
      <c r="I139" s="6">
        <v>2.1444000000000001</v>
      </c>
      <c r="J139" s="10">
        <v>1.59</v>
      </c>
      <c r="K139" s="10">
        <v>224.04</v>
      </c>
      <c r="L139" s="10"/>
      <c r="M139" s="1" cm="1">
        <f t="array" ref="M139">[1]!s_val_pe_ttm(M$6,$A139)</f>
        <v>13.0958003997803</v>
      </c>
      <c r="N139" s="1" cm="1">
        <f t="array" ref="N139">[1]!s_val_pe_ttm(N$6,$A139)</f>
        <v>25.469600677490199</v>
      </c>
      <c r="O139" s="1" cm="1">
        <f t="array" ref="O139">[1]!s_val_pb_lf(O$6,$A139)</f>
        <v>1.3406000137329099</v>
      </c>
      <c r="P139" s="1" cm="1">
        <f t="array" ref="P139">[1]!s_val_pb_lf(P$6,$A139)</f>
        <v>4.2631998062133798</v>
      </c>
      <c r="Q139" s="1">
        <f>[1]!cb_anal_convpremiumratio($Q$6,A139-2)</f>
        <v>48.850589591836801</v>
      </c>
      <c r="S139" s="1">
        <f>[1]!cb_anal_straightbondpremiumratio($S$6,A139-3)</f>
        <v>0</v>
      </c>
      <c r="T139" s="9" cm="1">
        <f t="array" ref="T139">[1]!s_dq_close(T$6,$A139,1)</f>
        <v>13.34</v>
      </c>
      <c r="U139" s="9" cm="1">
        <f t="array" ref="U139">[1]!s_dq_close(U$6,$A139,1)</f>
        <v>7.1325000000000003</v>
      </c>
      <c r="V139" s="9" cm="1">
        <f t="array" ref="V139">[1]!s_dq_close(V$6,$A139,1)</f>
        <v>99.963300000000004</v>
      </c>
      <c r="W139" s="11" cm="1">
        <f t="array" ref="W139">[1]!s_dq_close(W$6,$A139,1)</f>
        <v>454</v>
      </c>
      <c r="X139" s="11" cm="1">
        <f t="array" ref="X139">[1]!s_dq_close(X$6,$A139,1)</f>
        <v>1959.3</v>
      </c>
      <c r="Y139" s="11" cm="1">
        <f t="array" ref="Y139">[1]!s_dq_close(Y$6,$A139,1)</f>
        <v>75.27</v>
      </c>
      <c r="Z139" s="11" cm="1">
        <f t="array" ref="Z139">[1]!s_dq_close(Z$6,$A139,1)</f>
        <v>79.63</v>
      </c>
      <c r="AA139" s="12" cm="1">
        <f t="array" ref="AA139">[1]!s_dq_oi(AA$6,$A139)</f>
        <v>1246438</v>
      </c>
      <c r="AB139" s="12" cm="1">
        <f t="array" ref="AB139">[1]!s_dq_close(AB$6,$A139,1)</f>
        <v>4023</v>
      </c>
      <c r="AC139" s="12" cm="1">
        <f t="array" ref="AC139">[1]!s_dq_close(AC$6,$A139,1)</f>
        <v>4326.57</v>
      </c>
      <c r="AD139" s="12" cm="1">
        <f t="array" ref="AD139">[1]!s_dq_close(AD$6,$A139,1)</f>
        <v>3774</v>
      </c>
      <c r="AE139" s="12" cm="1">
        <f t="array" ref="AE139">[1]!s_dq_close(AE$6,$A139,1)</f>
        <v>3874</v>
      </c>
      <c r="AF139" s="12" cm="1">
        <f t="array" ref="AF139">[1]!s_dq_close(AF$6,$A139,1)</f>
        <v>849</v>
      </c>
      <c r="AG139" s="12">
        <f>[1]!s_dq_close($AG$6,$A139)</f>
        <v>-2375</v>
      </c>
      <c r="AH139" s="11">
        <f>[1]!s_dq_close($AH$6,A139)</f>
        <v>7.1578999999999997</v>
      </c>
    </row>
    <row r="140" spans="1:34">
      <c r="A140" s="5">
        <v>45116</v>
      </c>
      <c r="B140" s="6">
        <v>2.6402999999999999</v>
      </c>
      <c r="C140" s="6">
        <v>2.7677999999999998</v>
      </c>
      <c r="D140" s="6">
        <v>2.5933000000000002</v>
      </c>
      <c r="E140" s="6">
        <v>4.0599999999999996</v>
      </c>
      <c r="F140" s="6">
        <v>2.0623999999999998</v>
      </c>
      <c r="G140" s="6">
        <v>2.4115000000000002</v>
      </c>
      <c r="H140" s="6">
        <v>5.41</v>
      </c>
      <c r="I140" s="6">
        <v>2.1162000000000001</v>
      </c>
      <c r="J140" s="10">
        <v>1.79</v>
      </c>
      <c r="K140" s="10">
        <v>0</v>
      </c>
      <c r="L140" s="10"/>
      <c r="M140" s="1" cm="1">
        <f t="array" ref="M140">[1]!s_val_pe_ttm(M$6,$A140)</f>
        <v>12.939399719238301</v>
      </c>
      <c r="N140" s="1" cm="1">
        <f t="array" ref="N140">[1]!s_val_pe_ttm(N$6,$A140)</f>
        <v>25.007799148559599</v>
      </c>
      <c r="O140" s="1" cm="1">
        <f t="array" ref="O140">[1]!s_val_pb_lf(O$6,$A140)</f>
        <v>1.3155000209808301</v>
      </c>
      <c r="P140" s="1" cm="1">
        <f t="array" ref="P140">[1]!s_val_pb_lf(P$6,$A140)</f>
        <v>4.1658000946044904</v>
      </c>
      <c r="Q140" s="1">
        <f>[1]!cb_anal_convpremiumratio($Q$6,A140-2)</f>
        <v>49.513518902439003</v>
      </c>
      <c r="S140" s="1">
        <f>[1]!cb_anal_straightbondpremiumratio($S$6,A140-3)</f>
        <v>0</v>
      </c>
      <c r="T140" s="9" cm="1">
        <f t="array" ref="T140">[1]!s_dq_close(T$6,$A140,1)</f>
        <v>14.83</v>
      </c>
      <c r="U140" s="9" cm="1">
        <f t="array" ref="U140">[1]!s_dq_close(U$6,$A140,1)</f>
        <v>7.2336</v>
      </c>
      <c r="V140" s="9" cm="1">
        <f t="array" ref="V140">[1]!s_dq_close(V$6,$A140,1)</f>
        <v>102.22539999999999</v>
      </c>
      <c r="W140" s="11" cm="1">
        <f t="array" ref="W140">[1]!s_dq_close(W$6,$A140,1)</f>
        <v>450.82</v>
      </c>
      <c r="X140" s="11" cm="1">
        <f t="array" ref="X140">[1]!s_dq_close(X$6,$A140,1)</f>
        <v>1930.5</v>
      </c>
      <c r="Y140" s="11" cm="1">
        <f t="array" ref="Y140">[1]!s_dq_close(Y$6,$A140,1)</f>
        <v>73.67</v>
      </c>
      <c r="Z140" s="11" cm="1">
        <f t="array" ref="Z140">[1]!s_dq_close(Z$6,$A140,1)</f>
        <v>78.17</v>
      </c>
      <c r="AA140" s="12" cm="1">
        <f t="array" ref="AA140">[1]!s_dq_oi(AA$6,$A140)</f>
        <v>1301806</v>
      </c>
      <c r="AB140" s="12" cm="1">
        <f t="array" ref="AB140">[1]!s_dq_close(AB$6,$A140,1)</f>
        <v>3967</v>
      </c>
      <c r="AC140" s="12" cm="1">
        <f t="array" ref="AC140">[1]!s_dq_close(AC$6,$A140,1)</f>
        <v>4246.29</v>
      </c>
      <c r="AD140" s="12" cm="1">
        <f t="array" ref="AD140">[1]!s_dq_close(AD$6,$A140,1)</f>
        <v>3671</v>
      </c>
      <c r="AE140" s="12" cm="1">
        <f t="array" ref="AE140">[1]!s_dq_close(AE$6,$A140,1)</f>
        <v>3766</v>
      </c>
      <c r="AF140" s="12" cm="1">
        <f t="array" ref="AF140">[1]!s_dq_close(AF$6,$A140,1)</f>
        <v>812.5</v>
      </c>
      <c r="AG140" s="12">
        <f>[1]!s_dq_close($AG$6,$A140)</f>
        <v>-2610</v>
      </c>
      <c r="AH140" s="11">
        <f>[1]!s_dq_close($AH$6,A140)</f>
        <v>7.2321</v>
      </c>
    </row>
    <row r="141" spans="1:34">
      <c r="A141" s="5">
        <v>45109</v>
      </c>
      <c r="B141" s="6">
        <v>2.6351</v>
      </c>
      <c r="C141" s="6">
        <v>2.7726999999999999</v>
      </c>
      <c r="D141" s="6">
        <v>2.6432000000000002</v>
      </c>
      <c r="E141" s="6">
        <v>3.81</v>
      </c>
      <c r="F141" s="6">
        <v>2.0949</v>
      </c>
      <c r="G141" s="6">
        <v>2.4695999999999998</v>
      </c>
      <c r="H141" s="6">
        <v>5.4</v>
      </c>
      <c r="I141" s="6">
        <v>2.1446999999999998</v>
      </c>
      <c r="J141" s="10">
        <v>1.59</v>
      </c>
      <c r="K141" s="10">
        <v>224.6</v>
      </c>
      <c r="L141" s="10"/>
      <c r="M141" s="1" cm="1">
        <f t="array" ref="M141">[1]!s_val_pe_ttm(M$6,$A141)</f>
        <v>12.9359998703003</v>
      </c>
      <c r="N141" s="1" cm="1">
        <f t="array" ref="N141">[1]!s_val_pe_ttm(N$6,$A141)</f>
        <v>25.2940998077393</v>
      </c>
      <c r="O141" s="1" cm="1">
        <f t="array" ref="O141">[1]!s_val_pb_lf(O$6,$A141)</f>
        <v>1.31319999694824</v>
      </c>
      <c r="P141" s="1" cm="1">
        <f t="array" ref="P141">[1]!s_val_pb_lf(P$6,$A141)</f>
        <v>4.21350002288818</v>
      </c>
      <c r="Q141" s="1">
        <f>[1]!cb_anal_convpremiumratio($Q$6,A141-2)</f>
        <v>48.308828397565897</v>
      </c>
      <c r="S141" s="1">
        <f>[1]!cb_anal_straightbondpremiumratio($S$6,A141-3)</f>
        <v>0</v>
      </c>
      <c r="T141" s="9" cm="1">
        <f t="array" ref="T141">[1]!s_dq_close(T$6,$A141,1)</f>
        <v>13.59</v>
      </c>
      <c r="U141" s="9" cm="1">
        <f t="array" ref="U141">[1]!s_dq_close(U$6,$A141,1)</f>
        <v>7.2619999999999996</v>
      </c>
      <c r="V141" s="9" cm="1">
        <f t="array" ref="V141">[1]!s_dq_close(V$6,$A141,1)</f>
        <v>103.3788</v>
      </c>
      <c r="W141" s="11" cm="1">
        <f t="array" ref="W141">[1]!s_dq_close(W$6,$A141,1)</f>
        <v>448.6</v>
      </c>
      <c r="X141" s="11" cm="1">
        <f t="array" ref="X141">[1]!s_dq_close(X$6,$A141,1)</f>
        <v>1927.8</v>
      </c>
      <c r="Y141" s="11" cm="1">
        <f t="array" ref="Y141">[1]!s_dq_close(Y$6,$A141,1)</f>
        <v>70.45</v>
      </c>
      <c r="Z141" s="11" cm="1">
        <f t="array" ref="Z141">[1]!s_dq_close(Z$6,$A141,1)</f>
        <v>75.19</v>
      </c>
      <c r="AA141" s="12" cm="1">
        <f t="array" ref="AA141">[1]!s_dq_oi(AA$6,$A141)</f>
        <v>1289040</v>
      </c>
      <c r="AB141" s="12" cm="1">
        <f t="array" ref="AB141">[1]!s_dq_close(AB$6,$A141,1)</f>
        <v>3756</v>
      </c>
      <c r="AC141" s="12" cm="1">
        <f t="array" ref="AC141">[1]!s_dq_close(AC$6,$A141,1)</f>
        <v>4037.43</v>
      </c>
      <c r="AD141" s="12" cm="1">
        <f t="array" ref="AD141">[1]!s_dq_close(AD$6,$A141,1)</f>
        <v>3721</v>
      </c>
      <c r="AE141" s="12" cm="1">
        <f t="array" ref="AE141">[1]!s_dq_close(AE$6,$A141,1)</f>
        <v>3825</v>
      </c>
      <c r="AF141" s="12" cm="1">
        <f t="array" ref="AF141">[1]!s_dq_close(AF$6,$A141,1)</f>
        <v>822.5</v>
      </c>
      <c r="AG141" s="12">
        <f>[1]!s_dq_close($AG$6,$A141)</f>
        <v>-2660</v>
      </c>
      <c r="AH141" s="11">
        <f>[1]!s_dq_close($AH$6,A141)</f>
        <v>7.2676999999999996</v>
      </c>
    </row>
    <row r="142" spans="1:34">
      <c r="A142" s="5">
        <v>45102</v>
      </c>
      <c r="B142" s="6">
        <v>2.6576</v>
      </c>
      <c r="C142" s="6">
        <v>2.7951000000000001</v>
      </c>
      <c r="D142" s="6">
        <v>2.6511999999999998</v>
      </c>
      <c r="E142" s="6">
        <v>3.74</v>
      </c>
      <c r="F142" s="6">
        <v>2.1234999999999999</v>
      </c>
      <c r="G142" s="6">
        <v>2.4908000000000001</v>
      </c>
      <c r="H142" s="6">
        <v>5.25</v>
      </c>
      <c r="I142" s="6">
        <v>2.1804000000000001</v>
      </c>
      <c r="J142" s="10">
        <v>1.53</v>
      </c>
      <c r="K142" s="10">
        <v>226.27</v>
      </c>
      <c r="L142" s="10"/>
      <c r="M142" s="1" cm="1">
        <f t="array" ref="M142">[1]!s_val_pe_ttm(M$6,$A142)</f>
        <v>12.885700225830099</v>
      </c>
      <c r="N142" s="1" cm="1">
        <f t="array" ref="N142">[1]!s_val_pe_ttm(N$6,$A142)</f>
        <v>24.746700286865199</v>
      </c>
      <c r="O142" s="1" cm="1">
        <f t="array" ref="O142">[1]!s_val_pb_lf(O$6,$A142)</f>
        <v>1.30280005931854</v>
      </c>
      <c r="P142" s="1" cm="1">
        <f t="array" ref="P142">[1]!s_val_pb_lf(P$6,$A142)</f>
        <v>4.1317000389099103</v>
      </c>
      <c r="Q142" s="1">
        <f>[1]!cb_anal_convpremiumratio($Q$6,A142-2)</f>
        <v>0</v>
      </c>
      <c r="S142" s="1">
        <f>[1]!cb_anal_straightbondpremiumratio($S$6,A142-3)</f>
        <v>0</v>
      </c>
      <c r="T142" s="9" cm="1">
        <f t="array" ref="T142">[1]!s_dq_close(T$6,$A142,1)</f>
        <v>13.44</v>
      </c>
      <c r="U142" s="9" cm="1">
        <f t="array" ref="U142">[1]!s_dq_close(U$6,$A142,1)</f>
        <v>7.1938000000000004</v>
      </c>
      <c r="V142" s="9" cm="1">
        <f t="array" ref="V142">[1]!s_dq_close(V$6,$A142,1)</f>
        <v>102.8817</v>
      </c>
      <c r="W142" s="11" cm="1">
        <f t="array" ref="W142">[1]!s_dq_close(W$6,$A142,1)</f>
        <v>449.84</v>
      </c>
      <c r="X142" s="11" cm="1">
        <f t="array" ref="X142">[1]!s_dq_close(X$6,$A142,1)</f>
        <v>1930.3</v>
      </c>
      <c r="Y142" s="11" cm="1">
        <f t="array" ref="Y142">[1]!s_dq_close(Y$6,$A142,1)</f>
        <v>69.5</v>
      </c>
      <c r="Z142" s="11" cm="1">
        <f t="array" ref="Z142">[1]!s_dq_close(Z$6,$A142,1)</f>
        <v>74.55</v>
      </c>
      <c r="AA142" s="12" cm="1">
        <f t="array" ref="AA142">[1]!s_dq_oi(AA$6,$A142)</f>
        <v>1375204</v>
      </c>
      <c r="AB142" s="12" cm="1">
        <f t="array" ref="AB142">[1]!s_dq_close(AB$6,$A142,1)</f>
        <v>3819</v>
      </c>
      <c r="AC142" s="12" cm="1">
        <f t="array" ref="AC142">[1]!s_dq_close(AC$6,$A142,1)</f>
        <v>4020.86</v>
      </c>
      <c r="AD142" s="12" cm="1">
        <f t="array" ref="AD142">[1]!s_dq_close(AD$6,$A142,1)</f>
        <v>3686</v>
      </c>
      <c r="AE142" s="12" cm="1">
        <f t="array" ref="AE142">[1]!s_dq_close(AE$6,$A142,1)</f>
        <v>3786</v>
      </c>
      <c r="AF142" s="12" cm="1">
        <f t="array" ref="AF142">[1]!s_dq_close(AF$6,$A142,1)</f>
        <v>797.5</v>
      </c>
      <c r="AG142" s="12">
        <f>[1]!s_dq_close($AG$6,$A142)</f>
        <v>-2482</v>
      </c>
      <c r="AH142" s="11">
        <f>[1]!s_dq_close($AH$6,A142)</f>
        <v>7.2167000000000003</v>
      </c>
    </row>
    <row r="143" spans="1:34">
      <c r="A143" s="5">
        <v>45095</v>
      </c>
      <c r="B143" s="6">
        <v>2.6625999999999999</v>
      </c>
      <c r="C143" s="6">
        <v>2.8001</v>
      </c>
      <c r="D143" s="6">
        <v>2.6273</v>
      </c>
      <c r="E143" s="6">
        <v>3.77</v>
      </c>
      <c r="F143" s="6">
        <v>2.1027999999999998</v>
      </c>
      <c r="G143" s="6">
        <v>2.4514</v>
      </c>
      <c r="H143" s="6">
        <v>5.24</v>
      </c>
      <c r="I143" s="6">
        <v>2.2058</v>
      </c>
      <c r="J143" s="10">
        <v>1.55</v>
      </c>
      <c r="K143" s="10">
        <v>0</v>
      </c>
      <c r="L143" s="10"/>
      <c r="M143" s="1" cm="1">
        <f t="array" ref="M143">[1]!s_val_pe_ttm(M$6,$A143)</f>
        <v>13.2062997817993</v>
      </c>
      <c r="N143" s="1" cm="1">
        <f t="array" ref="N143">[1]!s_val_pe_ttm(N$6,$A143)</f>
        <v>25.028099060058601</v>
      </c>
      <c r="O143" s="1" cm="1">
        <f t="array" ref="O143">[1]!s_val_pb_lf(O$6,$A143)</f>
        <v>1.3322000503539999</v>
      </c>
      <c r="P143" s="1" cm="1">
        <f t="array" ref="P143">[1]!s_val_pb_lf(P$6,$A143)</f>
        <v>4.17439985275269</v>
      </c>
      <c r="Q143" s="1">
        <f>[1]!cb_anal_convpremiumratio($Q$6,A143-2)</f>
        <v>49.982411943319804</v>
      </c>
      <c r="S143" s="1">
        <f>[1]!cb_anal_straightbondpremiumratio($S$6,A143-3)</f>
        <v>0</v>
      </c>
      <c r="T143" s="9" cm="1">
        <f t="array" ref="T143">[1]!s_dq_close(T$6,$A143,1)</f>
        <v>13.54</v>
      </c>
      <c r="U143" s="9" cm="1">
        <f t="array" ref="U143">[1]!s_dq_close(U$6,$A143,1)</f>
        <v>7.1167999999999996</v>
      </c>
      <c r="V143" s="9" cm="1">
        <f t="array" ref="V143">[1]!s_dq_close(V$6,$A143,1)</f>
        <v>102.31529999999999</v>
      </c>
      <c r="W143" s="11" cm="1">
        <f t="array" ref="W143">[1]!s_dq_close(W$6,$A143,1)</f>
        <v>450.5</v>
      </c>
      <c r="X143" s="11" cm="1">
        <f t="array" ref="X143">[1]!s_dq_close(X$6,$A143,1)</f>
        <v>1970.7</v>
      </c>
      <c r="Y143" s="11" cm="1">
        <f t="array" ref="Y143">[1]!s_dq_close(Y$6,$A143,1)</f>
        <v>71.680000000000007</v>
      </c>
      <c r="Z143" s="11" cm="1">
        <f t="array" ref="Z143">[1]!s_dq_close(Z$6,$A143,1)</f>
        <v>76.260000000000005</v>
      </c>
      <c r="AA143" s="12" cm="1">
        <f t="array" ref="AA143">[1]!s_dq_oi(AA$6,$A143)</f>
        <v>1343634</v>
      </c>
      <c r="AB143" s="12" cm="1">
        <f t="array" ref="AB143">[1]!s_dq_close(AB$6,$A143,1)</f>
        <v>3665</v>
      </c>
      <c r="AC143" s="12" cm="1">
        <f t="array" ref="AC143">[1]!s_dq_close(AC$6,$A143,1)</f>
        <v>4000.86</v>
      </c>
      <c r="AD143" s="12" cm="1">
        <f t="array" ref="AD143">[1]!s_dq_close(AD$6,$A143,1)</f>
        <v>3799</v>
      </c>
      <c r="AE143" s="12" cm="1">
        <f t="array" ref="AE143">[1]!s_dq_close(AE$6,$A143,1)</f>
        <v>3899</v>
      </c>
      <c r="AF143" s="12" cm="1">
        <f t="array" ref="AF143">[1]!s_dq_close(AF$6,$A143,1)</f>
        <v>815</v>
      </c>
      <c r="AG143" s="12">
        <f>[1]!s_dq_close($AG$6,$A143)</f>
        <v>-2393</v>
      </c>
      <c r="AH143" s="11">
        <f>[1]!s_dq_close($AH$6,A143)</f>
        <v>7.1281999999999996</v>
      </c>
    </row>
    <row r="144" spans="1:34">
      <c r="A144" s="5">
        <v>45088</v>
      </c>
      <c r="B144" s="6">
        <v>2.6703000000000001</v>
      </c>
      <c r="C144" s="6">
        <v>2.8125</v>
      </c>
      <c r="D144" s="6">
        <v>2.6150000000000002</v>
      </c>
      <c r="E144" s="6">
        <v>3.75</v>
      </c>
      <c r="F144" s="6">
        <v>2.0568</v>
      </c>
      <c r="G144" s="6">
        <v>2.4329000000000001</v>
      </c>
      <c r="H144" s="6">
        <v>5.17</v>
      </c>
      <c r="I144" s="6">
        <v>2.1507999999999998</v>
      </c>
      <c r="J144" s="10">
        <v>1.55</v>
      </c>
      <c r="K144" s="10">
        <v>223.11</v>
      </c>
      <c r="L144" s="10"/>
      <c r="M144" s="1" cm="1">
        <f t="array" ref="M144">[1]!s_val_pe_ttm(M$6,$A144)</f>
        <v>13.174699783325201</v>
      </c>
      <c r="N144" s="1" cm="1">
        <f t="array" ref="N144">[1]!s_val_pe_ttm(N$6,$A144)</f>
        <v>24.401199340820298</v>
      </c>
      <c r="O144" s="1" cm="1">
        <f t="array" ref="O144">[1]!s_val_pb_lf(O$6,$A144)</f>
        <v>1.3206000328064</v>
      </c>
      <c r="P144" s="1" cm="1">
        <f t="array" ref="P144">[1]!s_val_pb_lf(P$6,$A144)</f>
        <v>4.0728001594543501</v>
      </c>
      <c r="Q144" s="1">
        <f>[1]!cb_anal_convpremiumratio($Q$6,A144-2)</f>
        <v>50.721270161290299</v>
      </c>
      <c r="S144" s="1">
        <f>[1]!cb_anal_straightbondpremiumratio($S$6,A144-3)</f>
        <v>0</v>
      </c>
      <c r="T144" s="9" cm="1">
        <f t="array" ref="T144">[1]!s_dq_close(T$6,$A144,1)</f>
        <v>13.83</v>
      </c>
      <c r="U144" s="9" cm="1">
        <f t="array" ref="U144">[1]!s_dq_close(U$6,$A144,1)</f>
        <v>7.1241000000000003</v>
      </c>
      <c r="V144" s="9" cm="1">
        <f t="array" ref="V144">[1]!s_dq_close(V$6,$A144,1)</f>
        <v>103.5562</v>
      </c>
      <c r="W144" s="11" cm="1">
        <f t="array" ref="W144">[1]!s_dq_close(W$6,$A144,1)</f>
        <v>452.34</v>
      </c>
      <c r="X144" s="11" cm="1">
        <f t="array" ref="X144">[1]!s_dq_close(X$6,$A144,1)</f>
        <v>1975.7</v>
      </c>
      <c r="Y144" s="11" cm="1">
        <f t="array" ref="Y144">[1]!s_dq_close(Y$6,$A144,1)</f>
        <v>70.349999999999994</v>
      </c>
      <c r="Z144" s="11" cm="1">
        <f t="array" ref="Z144">[1]!s_dq_close(Z$6,$A144,1)</f>
        <v>75.040000000000006</v>
      </c>
      <c r="AA144" s="12" cm="1">
        <f t="array" ref="AA144">[1]!s_dq_oi(AA$6,$A144)</f>
        <v>1197527</v>
      </c>
      <c r="AB144" s="12" cm="1">
        <f t="array" ref="AB144">[1]!s_dq_close(AB$6,$A144,1)</f>
        <v>3494</v>
      </c>
      <c r="AC144" s="12" cm="1">
        <f t="array" ref="AC144">[1]!s_dq_close(AC$6,$A144,1)</f>
        <v>3864.86</v>
      </c>
      <c r="AD144" s="12" cm="1">
        <f t="array" ref="AD144">[1]!s_dq_close(AD$6,$A144,1)</f>
        <v>3711</v>
      </c>
      <c r="AE144" s="12" cm="1">
        <f t="array" ref="AE144">[1]!s_dq_close(AE$6,$A144,1)</f>
        <v>3823</v>
      </c>
      <c r="AF144" s="12" cm="1">
        <f t="array" ref="AF144">[1]!s_dq_close(AF$6,$A144,1)</f>
        <v>812</v>
      </c>
      <c r="AG144" s="12">
        <f>[1]!s_dq_close($AG$6,$A144)</f>
        <v>-2410</v>
      </c>
      <c r="AH144" s="11">
        <f>[1]!s_dq_close($AH$6,A144)</f>
        <v>7.1443000000000003</v>
      </c>
    </row>
    <row r="145" spans="1:34">
      <c r="A145" s="5">
        <v>45081</v>
      </c>
      <c r="B145" s="6">
        <v>2.6951000000000001</v>
      </c>
      <c r="C145" s="6">
        <v>2.8424999999999998</v>
      </c>
      <c r="D145" s="6">
        <v>2.6953999999999998</v>
      </c>
      <c r="E145" s="6">
        <v>3.69</v>
      </c>
      <c r="F145" s="6">
        <v>2.1013000000000002</v>
      </c>
      <c r="G145" s="6">
        <v>2.4533999999999998</v>
      </c>
      <c r="H145" s="6">
        <v>5.22</v>
      </c>
      <c r="I145" s="6">
        <v>2.1907000000000001</v>
      </c>
      <c r="J145" s="10">
        <v>1.51</v>
      </c>
      <c r="K145" s="10">
        <v>209.54</v>
      </c>
      <c r="L145" s="10"/>
      <c r="M145" s="1" cm="1">
        <f t="array" ref="M145">[1]!s_val_pe_ttm(M$6,$A145)</f>
        <v>13.103899955749499</v>
      </c>
      <c r="N145" s="1" cm="1">
        <f t="array" ref="N145">[1]!s_val_pe_ttm(N$6,$A145)</f>
        <v>24.31130027771</v>
      </c>
      <c r="O145" s="1" cm="1">
        <f t="array" ref="O145">[1]!s_val_pb_lf(O$6,$A145)</f>
        <v>1.3102999925613401</v>
      </c>
      <c r="P145" s="1" cm="1">
        <f t="array" ref="P145">[1]!s_val_pb_lf(P$6,$A145)</f>
        <v>4.0594000816345197</v>
      </c>
      <c r="Q145" s="1">
        <f>[1]!cb_anal_convpremiumratio($Q$6,A145-2)</f>
        <v>48.635519919517101</v>
      </c>
      <c r="S145" s="1">
        <f>[1]!cb_anal_straightbondpremiumratio($S$6,A145-3)</f>
        <v>0</v>
      </c>
      <c r="T145" s="9" cm="1">
        <f t="array" ref="T145">[1]!s_dq_close(T$6,$A145,1)</f>
        <v>14.6</v>
      </c>
      <c r="U145" s="9" cm="1">
        <f t="array" ref="U145">[1]!s_dq_close(U$6,$A145,1)</f>
        <v>7.0750000000000002</v>
      </c>
      <c r="V145" s="9" cm="1">
        <f t="array" ref="V145">[1]!s_dq_close(V$6,$A145,1)</f>
        <v>104.04600000000001</v>
      </c>
      <c r="W145" s="11" cm="1">
        <f t="array" ref="W145">[1]!s_dq_close(W$6,$A145,1)</f>
        <v>452.3</v>
      </c>
      <c r="X145" s="11" cm="1">
        <f t="array" ref="X145">[1]!s_dq_close(X$6,$A145,1)</f>
        <v>1964.3</v>
      </c>
      <c r="Y145" s="11" cm="1">
        <f t="array" ref="Y145">[1]!s_dq_close(Y$6,$A145,1)</f>
        <v>71.87</v>
      </c>
      <c r="Z145" s="11" cm="1">
        <f t="array" ref="Z145">[1]!s_dq_close(Z$6,$A145,1)</f>
        <v>76.400000000000006</v>
      </c>
      <c r="AA145" s="12" cm="1">
        <f t="array" ref="AA145">[1]!s_dq_oi(AA$6,$A145)</f>
        <v>1286005</v>
      </c>
      <c r="AB145" s="12" cm="1">
        <f t="array" ref="AB145">[1]!s_dq_close(AB$6,$A145,1)</f>
        <v>3398</v>
      </c>
      <c r="AC145" s="12" cm="1">
        <f t="array" ref="AC145">[1]!s_dq_close(AC$6,$A145,1)</f>
        <v>3826.86</v>
      </c>
      <c r="AD145" s="12" cm="1">
        <f t="array" ref="AD145">[1]!s_dq_close(AD$6,$A145,1)</f>
        <v>3596</v>
      </c>
      <c r="AE145" s="12" cm="1">
        <f t="array" ref="AE145">[1]!s_dq_close(AE$6,$A145,1)</f>
        <v>3722</v>
      </c>
      <c r="AF145" s="12" cm="1">
        <f t="array" ref="AF145">[1]!s_dq_close(AF$6,$A145,1)</f>
        <v>745.5</v>
      </c>
      <c r="AG145" s="12">
        <f>[1]!s_dq_close($AG$6,$A145)</f>
        <v>-2262</v>
      </c>
      <c r="AH145" s="11">
        <f>[1]!s_dq_close($AH$6,A145)</f>
        <v>7.1102999999999996</v>
      </c>
    </row>
    <row r="146" spans="1:34">
      <c r="A146" s="5">
        <v>45074</v>
      </c>
      <c r="B146" s="6">
        <v>2.7204999999999999</v>
      </c>
      <c r="C146" s="6">
        <v>2.8626</v>
      </c>
      <c r="D146" s="6">
        <v>2.7281</v>
      </c>
      <c r="E146" s="6">
        <v>3.8</v>
      </c>
      <c r="F146" s="6">
        <v>2.1354000000000002</v>
      </c>
      <c r="G146" s="6">
        <v>2.4979</v>
      </c>
      <c r="H146" s="6">
        <v>5.25</v>
      </c>
      <c r="I146" s="6">
        <v>2.2448999999999999</v>
      </c>
      <c r="J146" s="10">
        <v>1.57</v>
      </c>
      <c r="K146" s="10">
        <v>0</v>
      </c>
      <c r="L146" s="10"/>
      <c r="M146" s="1" cm="1">
        <f t="array" ref="M146">[1]!s_val_pe_ttm(M$6,$A146)</f>
        <v>13.078300476074199</v>
      </c>
      <c r="N146" s="1" cm="1">
        <f t="array" ref="N146">[1]!s_val_pe_ttm(N$6,$A146)</f>
        <v>23.907899856567401</v>
      </c>
      <c r="O146" s="1" cm="1">
        <f t="array" ref="O146">[1]!s_val_pb_lf(O$6,$A146)</f>
        <v>1.29970002174377</v>
      </c>
      <c r="P146" s="1" cm="1">
        <f t="array" ref="P146">[1]!s_val_pb_lf(P$6,$A146)</f>
        <v>3.9893000125885001</v>
      </c>
      <c r="Q146" s="1">
        <f>[1]!cb_anal_convpremiumratio($Q$6,A146-2)</f>
        <v>47.5144481632653</v>
      </c>
      <c r="S146" s="1">
        <f>[1]!cb_anal_straightbondpremiumratio($S$6,A146-3)</f>
        <v>0</v>
      </c>
      <c r="T146" s="9" cm="1">
        <f t="array" ref="T146">[1]!s_dq_close(T$6,$A146,1)</f>
        <v>17.95</v>
      </c>
      <c r="U146" s="9" cm="1">
        <f t="array" ref="U146">[1]!s_dq_close(U$6,$A146,1)</f>
        <v>7.0547000000000004</v>
      </c>
      <c r="V146" s="9" cm="1">
        <f t="array" ref="V146">[1]!s_dq_close(V$6,$A146,1)</f>
        <v>104.21339999999999</v>
      </c>
      <c r="W146" s="11" cm="1">
        <f t="array" ref="W146">[1]!s_dq_close(W$6,$A146,1)</f>
        <v>445.5</v>
      </c>
      <c r="X146" s="11" cm="1">
        <f t="array" ref="X146">[1]!s_dq_close(X$6,$A146,1)</f>
        <v>1946.1</v>
      </c>
      <c r="Y146" s="11" cm="1">
        <f t="array" ref="Y146">[1]!s_dq_close(Y$6,$A146,1)</f>
        <v>72.87</v>
      </c>
      <c r="Z146" s="11" cm="1">
        <f t="array" ref="Z146">[1]!s_dq_close(Z$6,$A146,1)</f>
        <v>77.17</v>
      </c>
      <c r="AA146" s="12" cm="1">
        <f t="array" ref="AA146">[1]!s_dq_oi(AA$6,$A146)</f>
        <v>1366302</v>
      </c>
      <c r="AB146" s="12" cm="1">
        <f t="array" ref="AB146">[1]!s_dq_close(AB$6,$A146,1)</f>
        <v>3451</v>
      </c>
      <c r="AC146" s="12" cm="1">
        <f t="array" ref="AC146">[1]!s_dq_close(AC$6,$A146,1)</f>
        <v>4027.43</v>
      </c>
      <c r="AD146" s="12" cm="1">
        <f t="array" ref="AD146">[1]!s_dq_close(AD$6,$A146,1)</f>
        <v>3493</v>
      </c>
      <c r="AE146" s="12" cm="1">
        <f t="array" ref="AE146">[1]!s_dq_close(AE$6,$A146,1)</f>
        <v>3606</v>
      </c>
      <c r="AF146" s="12" cm="1">
        <f t="array" ref="AF146">[1]!s_dq_close(AF$6,$A146,1)</f>
        <v>709.5</v>
      </c>
      <c r="AG146" s="12">
        <f>[1]!s_dq_close($AG$6,$A146)</f>
        <v>-2455</v>
      </c>
      <c r="AH146" s="11">
        <f>[1]!s_dq_close($AH$6,A146)</f>
        <v>7.0734000000000004</v>
      </c>
    </row>
    <row r="147" spans="1:34">
      <c r="A147" s="5">
        <v>45067</v>
      </c>
      <c r="B147" s="6">
        <v>2.7151000000000001</v>
      </c>
      <c r="C147" s="6">
        <v>2.8774999999999999</v>
      </c>
      <c r="D147" s="6">
        <v>2.7587999999999999</v>
      </c>
      <c r="E147" s="6">
        <v>3.7</v>
      </c>
      <c r="F147" s="6">
        <v>2.2717000000000001</v>
      </c>
      <c r="G147" s="6">
        <v>2.5543</v>
      </c>
      <c r="H147" s="6">
        <v>5.0199999999999996</v>
      </c>
      <c r="I147" s="6">
        <v>2.2835999999999999</v>
      </c>
      <c r="J147" s="10">
        <v>1.46</v>
      </c>
      <c r="K147" s="10">
        <v>224.55</v>
      </c>
      <c r="L147" s="10"/>
      <c r="M147" s="1" cm="1">
        <f t="array" ref="M147">[1]!s_val_pe_ttm(M$6,$A147)</f>
        <v>13.3860998153687</v>
      </c>
      <c r="N147" s="1" cm="1">
        <f t="array" ref="N147">[1]!s_val_pe_ttm(N$6,$A147)</f>
        <v>23.819900512695298</v>
      </c>
      <c r="O147" s="1" cm="1">
        <f t="array" ref="O147">[1]!s_val_pb_lf(O$6,$A147)</f>
        <v>1.33019995689392</v>
      </c>
      <c r="P147" s="1" cm="1">
        <f t="array" ref="P147">[1]!s_val_pb_lf(P$6,$A147)</f>
        <v>3.9760999679565399</v>
      </c>
      <c r="Q147" s="1">
        <f>[1]!cb_anal_convpremiumratio($Q$6,A147-2)</f>
        <v>47.679879591836702</v>
      </c>
      <c r="S147" s="1">
        <f>[1]!cb_anal_straightbondpremiumratio($S$6,A147-3)</f>
        <v>0</v>
      </c>
      <c r="T147" s="9" cm="1">
        <f t="array" ref="T147">[1]!s_dq_close(T$6,$A147,1)</f>
        <v>16.809999999999999</v>
      </c>
      <c r="U147" s="9" cm="1">
        <f t="array" ref="U147">[1]!s_dq_close(U$6,$A147,1)</f>
        <v>7.0235000000000003</v>
      </c>
      <c r="V147" s="9" cm="1">
        <f t="array" ref="V147">[1]!s_dq_close(V$6,$A147,1)</f>
        <v>103.1921</v>
      </c>
      <c r="W147" s="11" cm="1">
        <f t="array" ref="W147">[1]!s_dq_close(W$6,$A147,1)</f>
        <v>447.62</v>
      </c>
      <c r="X147" s="11" cm="1">
        <f t="array" ref="X147">[1]!s_dq_close(X$6,$A147,1)</f>
        <v>1979.9</v>
      </c>
      <c r="Y147" s="11" cm="1">
        <f t="array" ref="Y147">[1]!s_dq_close(Y$6,$A147,1)</f>
        <v>71.900000000000006</v>
      </c>
      <c r="Z147" s="11" cm="1">
        <f t="array" ref="Z147">[1]!s_dq_close(Z$6,$A147,1)</f>
        <v>75.59</v>
      </c>
      <c r="AA147" s="12" cm="1">
        <f t="array" ref="AA147">[1]!s_dq_oi(AA$6,$A147)</f>
        <v>1416910</v>
      </c>
      <c r="AB147" s="12" cm="1">
        <f t="array" ref="AB147">[1]!s_dq_close(AB$6,$A147,1)</f>
        <v>3453</v>
      </c>
      <c r="AC147" s="12" cm="1">
        <f t="array" ref="AC147">[1]!s_dq_close(AC$6,$A147,1)</f>
        <v>4321.43</v>
      </c>
      <c r="AD147" s="12" cm="1">
        <f t="array" ref="AD147">[1]!s_dq_close(AD$6,$A147,1)</f>
        <v>3645</v>
      </c>
      <c r="AE147" s="12" cm="1">
        <f t="array" ref="AE147">[1]!s_dq_close(AE$6,$A147,1)</f>
        <v>3722</v>
      </c>
      <c r="AF147" s="12" cm="1">
        <f t="array" ref="AF147">[1]!s_dq_close(AF$6,$A147,1)</f>
        <v>736</v>
      </c>
      <c r="AG147" s="12">
        <f>[1]!s_dq_close($AG$6,$A147)</f>
        <v>-2140</v>
      </c>
      <c r="AH147" s="11">
        <f>[1]!s_dq_close($AH$6,A147)</f>
        <v>7.0242000000000004</v>
      </c>
    </row>
    <row r="148" spans="1:34">
      <c r="A148" s="5">
        <v>45060</v>
      </c>
      <c r="B148" s="6">
        <v>2.7058</v>
      </c>
      <c r="C148" s="6">
        <v>2.8704000000000001</v>
      </c>
      <c r="D148" s="6">
        <v>2.7563</v>
      </c>
      <c r="E148" s="6">
        <v>3.46</v>
      </c>
      <c r="F148" s="6">
        <v>2.2633999999999999</v>
      </c>
      <c r="G148" s="6">
        <v>2.5524</v>
      </c>
      <c r="H148" s="6">
        <v>4.75</v>
      </c>
      <c r="I148" s="6">
        <v>2.2692999999999999</v>
      </c>
      <c r="J148" s="10">
        <v>1.28</v>
      </c>
      <c r="K148" s="10">
        <v>225.08</v>
      </c>
      <c r="L148" s="10"/>
      <c r="M148" s="1" cm="1">
        <f t="array" ref="M148">[1]!s_val_pe_ttm(M$6,$A148)</f>
        <v>13.3557996749878</v>
      </c>
      <c r="N148" s="1" cm="1">
        <f t="array" ref="N148">[1]!s_val_pe_ttm(N$6,$A148)</f>
        <v>23.3903999328613</v>
      </c>
      <c r="O148" s="1" cm="1">
        <f t="array" ref="O148">[1]!s_val_pb_lf(O$6,$A148)</f>
        <v>1.3257999420166</v>
      </c>
      <c r="P148" s="1" cm="1">
        <f t="array" ref="P148">[1]!s_val_pb_lf(P$6,$A148)</f>
        <v>3.9066998958587602</v>
      </c>
      <c r="Q148" s="1">
        <f>[1]!cb_anal_convpremiumratio($Q$6,A148-2)</f>
        <v>47.902445510204103</v>
      </c>
      <c r="S148" s="1">
        <f>[1]!cb_anal_straightbondpremiumratio($S$6,A148-3)</f>
        <v>0</v>
      </c>
      <c r="T148" s="9" cm="1">
        <f t="array" ref="T148">[1]!s_dq_close(T$6,$A148,1)</f>
        <v>17.03</v>
      </c>
      <c r="U148" s="9" cm="1">
        <f t="array" ref="U148">[1]!s_dq_close(U$6,$A148,1)</f>
        <v>6.9505999999999997</v>
      </c>
      <c r="V148" s="9" cm="1">
        <f t="array" ref="V148">[1]!s_dq_close(V$6,$A148,1)</f>
        <v>102.70399999999999</v>
      </c>
      <c r="W148" s="11" cm="1">
        <f t="array" ref="W148">[1]!s_dq_close(W$6,$A148,1)</f>
        <v>451.5</v>
      </c>
      <c r="X148" s="11" cm="1">
        <f t="array" ref="X148">[1]!s_dq_close(X$6,$A148,1)</f>
        <v>2015.6</v>
      </c>
      <c r="Y148" s="11" cm="1">
        <f t="array" ref="Y148">[1]!s_dq_close(Y$6,$A148,1)</f>
        <v>70.09</v>
      </c>
      <c r="Z148" s="11" cm="1">
        <f t="array" ref="Z148">[1]!s_dq_close(Z$6,$A148,1)</f>
        <v>74.17</v>
      </c>
      <c r="AA148" s="12" cm="1">
        <f t="array" ref="AA148">[1]!s_dq_oi(AA$6,$A148)</f>
        <v>1518335</v>
      </c>
      <c r="AB148" s="12" cm="1">
        <f t="array" ref="AB148">[1]!s_dq_close(AB$6,$A148,1)</f>
        <v>3537</v>
      </c>
      <c r="AC148" s="12" cm="1">
        <f t="array" ref="AC148">[1]!s_dq_close(AC$6,$A148,1)</f>
        <v>4391.43</v>
      </c>
      <c r="AD148" s="12" cm="1">
        <f t="array" ref="AD148">[1]!s_dq_close(AD$6,$A148,1)</f>
        <v>3579</v>
      </c>
      <c r="AE148" s="12" cm="1">
        <f t="array" ref="AE148">[1]!s_dq_close(AE$6,$A148,1)</f>
        <v>3642</v>
      </c>
      <c r="AF148" s="12" cm="1">
        <f t="array" ref="AF148">[1]!s_dq_close(AF$6,$A148,1)</f>
        <v>697</v>
      </c>
      <c r="AG148" s="12">
        <f>[1]!s_dq_close($AG$6,$A148)</f>
        <v>-1895</v>
      </c>
      <c r="AH148" s="11">
        <f>[1]!s_dq_close($AH$6,A148)</f>
        <v>6.9710000000000001</v>
      </c>
    </row>
    <row r="149" spans="1:34">
      <c r="A149" s="5">
        <v>45053</v>
      </c>
      <c r="B149" s="6">
        <v>2.7311000000000001</v>
      </c>
      <c r="C149" s="6">
        <v>2.8938000000000001</v>
      </c>
      <c r="D149" s="6">
        <v>2.7856000000000001</v>
      </c>
      <c r="E149" s="6">
        <v>3.44</v>
      </c>
      <c r="F149" s="6">
        <v>2.3281000000000001</v>
      </c>
      <c r="G149" s="6">
        <v>2.6364999999999998</v>
      </c>
      <c r="H149" s="6">
        <v>4.7300000000000004</v>
      </c>
      <c r="I149" s="6">
        <v>2.3039999999999998</v>
      </c>
      <c r="J149" s="10">
        <v>1.23</v>
      </c>
      <c r="K149" s="10">
        <v>0</v>
      </c>
      <c r="L149" s="10"/>
      <c r="M149" s="1" cm="1">
        <f t="array" ref="M149">[1]!s_val_pe_ttm(M$6,$A149)</f>
        <v>13.6284999847412</v>
      </c>
      <c r="N149" s="1" cm="1">
        <f t="array" ref="N149">[1]!s_val_pe_ttm(N$6,$A149)</f>
        <v>23.6935005187988</v>
      </c>
      <c r="O149" s="1" cm="1">
        <f t="array" ref="O149">[1]!s_val_pb_lf(O$6,$A149)</f>
        <v>1.35300004482269</v>
      </c>
      <c r="P149" s="1" cm="1">
        <f t="array" ref="P149">[1]!s_val_pb_lf(P$6,$A149)</f>
        <v>3.9147999286651598</v>
      </c>
      <c r="Q149" s="1">
        <f>[1]!cb_anal_convpremiumratio($Q$6,A149-2)</f>
        <v>48.742354582484701</v>
      </c>
      <c r="S149" s="1">
        <f>[1]!cb_anal_straightbondpremiumratio($S$6,A149-3)</f>
        <v>0</v>
      </c>
      <c r="T149" s="9" cm="1">
        <f t="array" ref="T149">[1]!s_dq_close(T$6,$A149,1)</f>
        <v>17.190000000000001</v>
      </c>
      <c r="U149" s="9" cm="1">
        <f t="array" ref="U149">[1]!s_dq_close(U$6,$A149,1)</f>
        <v>6.9114000000000004</v>
      </c>
      <c r="V149" s="9" cm="1">
        <f t="array" ref="V149">[1]!s_dq_close(V$6,$A149,1)</f>
        <v>101.29040000000001</v>
      </c>
      <c r="W149" s="11" cm="1">
        <f t="array" ref="W149">[1]!s_dq_close(W$6,$A149,1)</f>
        <v>457.92</v>
      </c>
      <c r="X149" s="11" cm="1">
        <f t="array" ref="X149">[1]!s_dq_close(X$6,$A149,1)</f>
        <v>2024.9</v>
      </c>
      <c r="Y149" s="11" cm="1">
        <f t="array" ref="Y149">[1]!s_dq_close(Y$6,$A149,1)</f>
        <v>71.319999999999993</v>
      </c>
      <c r="Z149" s="11" cm="1">
        <f t="array" ref="Z149">[1]!s_dq_close(Z$6,$A149,1)</f>
        <v>75.37</v>
      </c>
      <c r="AA149" s="12" cm="1">
        <f t="array" ref="AA149">[1]!s_dq_oi(AA$6,$A149)</f>
        <v>1455345</v>
      </c>
      <c r="AB149" s="12" cm="1">
        <f t="array" ref="AB149">[1]!s_dq_close(AB$6,$A149,1)</f>
        <v>3518</v>
      </c>
      <c r="AC149" s="12" cm="1">
        <f t="array" ref="AC149">[1]!s_dq_close(AC$6,$A149,1)</f>
        <v>4378.29</v>
      </c>
      <c r="AD149" s="12" cm="1">
        <f t="array" ref="AD149">[1]!s_dq_close(AD$6,$A149,1)</f>
        <v>3622</v>
      </c>
      <c r="AE149" s="12" cm="1">
        <f t="array" ref="AE149">[1]!s_dq_close(AE$6,$A149,1)</f>
        <v>3676</v>
      </c>
      <c r="AF149" s="12" cm="1">
        <f t="array" ref="AF149">[1]!s_dq_close(AF$6,$A149,1)</f>
        <v>697.5</v>
      </c>
      <c r="AG149" s="12">
        <f>[1]!s_dq_close($AG$6,$A149)</f>
        <v>-1765</v>
      </c>
      <c r="AH149" s="11">
        <f>[1]!s_dq_close($AH$6,A149)</f>
        <v>6.9196999999999997</v>
      </c>
    </row>
    <row r="150" spans="1:34">
      <c r="A150" s="5">
        <v>45046</v>
      </c>
      <c r="B150" s="6">
        <v>2.7787999999999999</v>
      </c>
      <c r="C150" s="6">
        <v>2.9426999999999999</v>
      </c>
      <c r="D150" s="6">
        <v>2.8298000000000001</v>
      </c>
      <c r="E150" s="6">
        <v>3.44</v>
      </c>
      <c r="F150" s="6">
        <v>2.3893</v>
      </c>
      <c r="G150" s="6">
        <v>2.6793999999999998</v>
      </c>
      <c r="H150" s="6">
        <v>4.8</v>
      </c>
      <c r="I150" s="6">
        <v>2.3548</v>
      </c>
      <c r="J150" s="10">
        <v>1.26</v>
      </c>
      <c r="K150" s="10">
        <v>220.67</v>
      </c>
      <c r="L150" s="10"/>
      <c r="M150" s="1" cm="1">
        <f t="array" ref="M150">[1]!s_val_pe_ttm(M$6,$A150)</f>
        <v>13.546400070190399</v>
      </c>
      <c r="N150" s="1" cm="1">
        <f t="array" ref="N150">[1]!s_val_pe_ttm(N$6,$A150)</f>
        <v>23.752199172973601</v>
      </c>
      <c r="O150" s="1" cm="1">
        <f t="array" ref="O150">[1]!s_val_pb_lf(O$6,$A150)</f>
        <v>1.3453999757766699</v>
      </c>
      <c r="P150" s="1" cm="1">
        <f t="array" ref="P150">[1]!s_val_pb_lf(P$6,$A150)</f>
        <v>3.9584000110626198</v>
      </c>
      <c r="Q150" s="1">
        <f>[1]!cb_anal_convpremiumratio($Q$6,A150-2)</f>
        <v>50.022275319149003</v>
      </c>
      <c r="S150" s="1">
        <f>[1]!cb_anal_straightbondpremiumratio($S$6,A150-3)</f>
        <v>0</v>
      </c>
      <c r="T150" s="9" cm="1">
        <f t="array" ref="T150">[1]!s_dq_close(T$6,$A150,1)</f>
        <v>15.78</v>
      </c>
      <c r="U150" s="9" cm="1">
        <f t="array" ref="U150">[1]!s_dq_close(U$6,$A150,1)</f>
        <v>6.9283999999999999</v>
      </c>
      <c r="V150" s="9" cm="1">
        <f t="array" ref="V150">[1]!s_dq_close(V$6,$A150,1)</f>
        <v>101.6645</v>
      </c>
      <c r="W150" s="11" cm="1">
        <f t="array" ref="W150">[1]!s_dq_close(W$6,$A150,1)</f>
        <v>444.04</v>
      </c>
      <c r="X150" s="11" cm="1">
        <f t="array" ref="X150">[1]!s_dq_close(X$6,$A150,1)</f>
        <v>1999.4</v>
      </c>
      <c r="Y150" s="11" cm="1">
        <f t="array" ref="Y150">[1]!s_dq_close(Y$6,$A150,1)</f>
        <v>76.63</v>
      </c>
      <c r="Z150" s="11" cm="1">
        <f t="array" ref="Z150">[1]!s_dq_close(Z$6,$A150,1)</f>
        <v>80.260000000000005</v>
      </c>
      <c r="AA150" s="12" cm="1">
        <f t="array" ref="AA150">[1]!s_dq_oi(AA$6,$A150)</f>
        <v>1416693</v>
      </c>
      <c r="AB150" s="12" cm="1">
        <f t="array" ref="AB150">[1]!s_dq_close(AB$6,$A150,1)</f>
        <v>3497</v>
      </c>
      <c r="AC150" s="12" cm="1">
        <f t="array" ref="AC150">[1]!s_dq_close(AC$6,$A150,1)</f>
        <v>4332.57</v>
      </c>
      <c r="AD150" s="12" cm="1">
        <f t="array" ref="AD150">[1]!s_dq_close(AD$6,$A150,1)</f>
        <v>3660</v>
      </c>
      <c r="AE150" s="12" cm="1">
        <f t="array" ref="AE150">[1]!s_dq_close(AE$6,$A150,1)</f>
        <v>3721</v>
      </c>
      <c r="AF150" s="12" cm="1">
        <f t="array" ref="AF150">[1]!s_dq_close(AF$6,$A150,1)</f>
        <v>714</v>
      </c>
      <c r="AG150" s="12">
        <f>[1]!s_dq_close($AG$6,$A150)</f>
        <v>-1840</v>
      </c>
      <c r="AH150" s="11">
        <f>[1]!s_dq_close($AH$6,A150)</f>
        <v>6.9272999999999998</v>
      </c>
    </row>
    <row r="151" spans="1:34">
      <c r="A151" s="5">
        <v>45039</v>
      </c>
      <c r="B151" s="6">
        <v>2.8220000000000001</v>
      </c>
      <c r="C151" s="6">
        <v>3.0051000000000001</v>
      </c>
      <c r="D151" s="6">
        <v>2.8826999999999998</v>
      </c>
      <c r="E151" s="6">
        <v>3.57</v>
      </c>
      <c r="F151" s="6">
        <v>2.4260999999999999</v>
      </c>
      <c r="G151" s="6">
        <v>2.7118000000000002</v>
      </c>
      <c r="H151" s="6">
        <v>4.78</v>
      </c>
      <c r="I151" s="6">
        <v>2.4095</v>
      </c>
      <c r="J151" s="10">
        <v>1.29</v>
      </c>
      <c r="K151" s="10">
        <v>228.98</v>
      </c>
      <c r="L151" s="10"/>
      <c r="M151" s="1" cm="1">
        <f t="array" ref="M151">[1]!s_val_pe_ttm(M$6,$A151)</f>
        <v>13.502499580383301</v>
      </c>
      <c r="N151" s="1" cm="1">
        <f t="array" ref="N151">[1]!s_val_pe_ttm(N$6,$A151)</f>
        <v>23.679399490356399</v>
      </c>
      <c r="O151" s="1" cm="1">
        <f t="array" ref="O151">[1]!s_val_pb_lf(O$6,$A151)</f>
        <v>1.3682999610900899</v>
      </c>
      <c r="P151" s="1" cm="1">
        <f t="array" ref="P151">[1]!s_val_pb_lf(P$6,$A151)</f>
        <v>3.9495999813079798</v>
      </c>
      <c r="Q151" s="1">
        <f>[1]!cb_anal_convpremiumratio($Q$6,A151-2)</f>
        <v>48.745745435244103</v>
      </c>
      <c r="S151" s="1">
        <f>[1]!cb_anal_straightbondpremiumratio($S$6,A151-3)</f>
        <v>0</v>
      </c>
      <c r="T151" s="9" cm="1">
        <f t="array" ref="T151">[1]!s_dq_close(T$6,$A151,1)</f>
        <v>16.77</v>
      </c>
      <c r="U151" s="9" cm="1">
        <f t="array" ref="U151">[1]!s_dq_close(U$6,$A151,1)</f>
        <v>6.8898000000000001</v>
      </c>
      <c r="V151" s="9" cm="1">
        <f t="array" ref="V151">[1]!s_dq_close(V$6,$A151,1)</f>
        <v>101.7201</v>
      </c>
      <c r="W151" s="11" cm="1">
        <f t="array" ref="W151">[1]!s_dq_close(W$6,$A151,1)</f>
        <v>442.5</v>
      </c>
      <c r="X151" s="11" cm="1">
        <f t="array" ref="X151">[1]!s_dq_close(X$6,$A151,1)</f>
        <v>1994.1</v>
      </c>
      <c r="Y151" s="11" cm="1">
        <f t="array" ref="Y151">[1]!s_dq_close(Y$6,$A151,1)</f>
        <v>77.95</v>
      </c>
      <c r="Z151" s="11" cm="1">
        <f t="array" ref="Z151">[1]!s_dq_close(Z$6,$A151,1)</f>
        <v>81.75</v>
      </c>
      <c r="AA151" s="12" cm="1">
        <f t="array" ref="AA151">[1]!s_dq_oi(AA$6,$A151)</f>
        <v>1380471</v>
      </c>
      <c r="AB151" s="12" cm="1">
        <f t="array" ref="AB151">[1]!s_dq_close(AB$6,$A151,1)</f>
        <v>3405</v>
      </c>
      <c r="AC151" s="12" cm="1">
        <f t="array" ref="AC151">[1]!s_dq_close(AC$6,$A151,1)</f>
        <v>4235.43</v>
      </c>
      <c r="AD151" s="12" cm="1">
        <f t="array" ref="AD151">[1]!s_dq_close(AD$6,$A151,1)</f>
        <v>3810</v>
      </c>
      <c r="AE151" s="12" cm="1">
        <f t="array" ref="AE151">[1]!s_dq_close(AE$6,$A151,1)</f>
        <v>3883</v>
      </c>
      <c r="AF151" s="12" cm="1">
        <f t="array" ref="AF151">[1]!s_dq_close(AF$6,$A151,1)</f>
        <v>730.5</v>
      </c>
      <c r="AG151" s="12">
        <f>[1]!s_dq_close($AG$6,$A151)</f>
        <v>-1793</v>
      </c>
      <c r="AH151" s="11">
        <f>[1]!s_dq_close($AH$6,A151)</f>
        <v>6.9005000000000001</v>
      </c>
    </row>
    <row r="152" spans="1:34">
      <c r="A152" s="5">
        <v>45032</v>
      </c>
      <c r="B152" s="6">
        <v>2.8281000000000001</v>
      </c>
      <c r="C152" s="6">
        <v>3.0051000000000001</v>
      </c>
      <c r="D152" s="6">
        <v>2.8927999999999998</v>
      </c>
      <c r="E152" s="6">
        <v>3.52</v>
      </c>
      <c r="F152" s="6">
        <v>2.4319999999999999</v>
      </c>
      <c r="G152" s="6">
        <v>2.7418</v>
      </c>
      <c r="H152" s="6">
        <v>4.7699999999999996</v>
      </c>
      <c r="I152" s="6">
        <v>2.4074</v>
      </c>
      <c r="J152" s="10">
        <v>1.22</v>
      </c>
      <c r="K152" s="10">
        <v>232.2</v>
      </c>
      <c r="L152" s="10"/>
      <c r="M152" s="1" cm="1">
        <f t="array" ref="M152">[1]!s_val_pe_ttm(M$6,$A152)</f>
        <v>13.7021999359131</v>
      </c>
      <c r="N152" s="1" cm="1">
        <f t="array" ref="N152">[1]!s_val_pe_ttm(N$6,$A152)</f>
        <v>23.552200317382798</v>
      </c>
      <c r="O152" s="1" cm="1">
        <f t="array" ref="O152">[1]!s_val_pb_lf(O$6,$A152)</f>
        <v>1.3779000043869001</v>
      </c>
      <c r="P152" s="1" cm="1">
        <f t="array" ref="P152">[1]!s_val_pb_lf(P$6,$A152)</f>
        <v>3.9695999622345002</v>
      </c>
      <c r="Q152" s="1">
        <f>[1]!cb_anal_convpremiumratio($Q$6,A152-2)</f>
        <v>46.010055508474501</v>
      </c>
      <c r="S152" s="1">
        <f>[1]!cb_anal_straightbondpremiumratio($S$6,A152-3)</f>
        <v>0</v>
      </c>
      <c r="T152" s="9" cm="1">
        <f t="array" ref="T152">[1]!s_dq_close(T$6,$A152,1)</f>
        <v>17.07</v>
      </c>
      <c r="U152" s="9" cm="1">
        <f t="array" ref="U152">[1]!s_dq_close(U$6,$A152,1)</f>
        <v>6.8494999999999999</v>
      </c>
      <c r="V152" s="9" cm="1">
        <f t="array" ref="V152">[1]!s_dq_close(V$6,$A152,1)</f>
        <v>101.5775</v>
      </c>
      <c r="W152" s="11" cm="1">
        <f t="array" ref="W152">[1]!s_dq_close(W$6,$A152,1)</f>
        <v>451</v>
      </c>
      <c r="X152" s="11" cm="1">
        <f t="array" ref="X152">[1]!s_dq_close(X$6,$A152,1)</f>
        <v>2017.7</v>
      </c>
      <c r="Y152" s="11" cm="1">
        <f t="array" ref="Y152">[1]!s_dq_close(Y$6,$A152,1)</f>
        <v>82.68</v>
      </c>
      <c r="Z152" s="11" cm="1">
        <f t="array" ref="Z152">[1]!s_dq_close(Z$6,$A152,1)</f>
        <v>86.63</v>
      </c>
      <c r="AA152" s="12" cm="1">
        <f t="array" ref="AA152">[1]!s_dq_oi(AA$6,$A152)</f>
        <v>1068416</v>
      </c>
      <c r="AB152" s="12" cm="1">
        <f t="array" ref="AB152">[1]!s_dq_close(AB$6,$A152,1)</f>
        <v>3551</v>
      </c>
      <c r="AC152" s="12" cm="1">
        <f t="array" ref="AC152">[1]!s_dq_close(AC$6,$A152,1)</f>
        <v>4349.1400000000003</v>
      </c>
      <c r="AD152" s="12" cm="1">
        <f t="array" ref="AD152">[1]!s_dq_close(AD$6,$A152,1)</f>
        <v>3896</v>
      </c>
      <c r="AE152" s="12" cm="1">
        <f t="array" ref="AE152">[1]!s_dq_close(AE$6,$A152,1)</f>
        <v>3986</v>
      </c>
      <c r="AF152" s="12" cm="1">
        <f t="array" ref="AF152">[1]!s_dq_close(AF$6,$A152,1)</f>
        <v>768.5</v>
      </c>
      <c r="AG152" s="12">
        <f>[1]!s_dq_close($AG$6,$A152)</f>
        <v>-1725.5</v>
      </c>
      <c r="AH152" s="11">
        <f>[1]!s_dq_close($AH$6,A152)</f>
        <v>6.8719999999999999</v>
      </c>
    </row>
    <row r="153" spans="1:34">
      <c r="A153" s="5">
        <v>45025</v>
      </c>
      <c r="B153" s="6">
        <v>2.8464</v>
      </c>
      <c r="C153" s="6">
        <v>3.0215999999999998</v>
      </c>
      <c r="D153" s="6">
        <v>2.9327999999999999</v>
      </c>
      <c r="E153" s="6">
        <v>3.39</v>
      </c>
      <c r="F153" s="6">
        <v>2.4169999999999998</v>
      </c>
      <c r="G153" s="6">
        <v>2.7412000000000001</v>
      </c>
      <c r="H153" s="6">
        <v>4.6100000000000003</v>
      </c>
      <c r="I153" s="6">
        <v>2.4081999999999999</v>
      </c>
      <c r="J153" s="10">
        <v>1.1399999999999999</v>
      </c>
      <c r="K153" s="10">
        <v>0</v>
      </c>
      <c r="L153" s="10"/>
      <c r="M153" s="1" cm="1">
        <f t="array" ref="M153">[1]!s_val_pe_ttm(M$6,$A153)</f>
        <v>13.6245002746582</v>
      </c>
      <c r="N153" s="1" cm="1">
        <f t="array" ref="N153">[1]!s_val_pe_ttm(N$6,$A153)</f>
        <v>23.473800659179702</v>
      </c>
      <c r="O153" s="1" cm="1">
        <f t="array" ref="O153">[1]!s_val_pb_lf(O$6,$A153)</f>
        <v>1.36969995498657</v>
      </c>
      <c r="P153" s="1" cm="1">
        <f t="array" ref="P153">[1]!s_val_pb_lf(P$6,$A153)</f>
        <v>3.9500999450683598</v>
      </c>
      <c r="Q153" s="1">
        <f>[1]!cb_anal_convpremiumratio($Q$6,A153-2)</f>
        <v>45.828127157894698</v>
      </c>
      <c r="S153" s="1">
        <f>[1]!cb_anal_straightbondpremiumratio($S$6,A153-3)</f>
        <v>0</v>
      </c>
      <c r="T153" s="9" cm="1">
        <f t="array" ref="T153">[1]!s_dq_close(T$6,$A153,1)</f>
        <v>18.399999999999999</v>
      </c>
      <c r="U153" s="9" cm="1">
        <f t="array" ref="U153">[1]!s_dq_close(U$6,$A153,1)</f>
        <v>6.8754</v>
      </c>
      <c r="V153" s="9" cm="1">
        <f t="array" ref="V153">[1]!s_dq_close(V$6,$A153,1)</f>
        <v>102.1053</v>
      </c>
      <c r="W153" s="11" cm="1">
        <f t="array" ref="W153">[1]!s_dq_close(W$6,$A153,1)</f>
        <v>447.32</v>
      </c>
      <c r="X153" s="11" cm="1">
        <f t="array" ref="X153">[1]!s_dq_close(X$6,$A153,1)</f>
        <v>2023.7</v>
      </c>
      <c r="Y153" s="11" cm="1">
        <f t="array" ref="Y153">[1]!s_dq_close(Y$6,$A153,1)</f>
        <v>80.459999999999994</v>
      </c>
      <c r="Z153" s="11" cm="1">
        <f t="array" ref="Z153">[1]!s_dq_close(Z$6,$A153,1)</f>
        <v>84.94</v>
      </c>
      <c r="AA153" s="12" cm="1">
        <f t="array" ref="AA153">[1]!s_dq_oi(AA$6,$A153)</f>
        <v>663688</v>
      </c>
      <c r="AB153" s="12" cm="1">
        <f t="array" ref="AB153">[1]!s_dq_close(AB$6,$A153,1)</f>
        <v>3562</v>
      </c>
      <c r="AC153" s="12" cm="1">
        <f t="array" ref="AC153">[1]!s_dq_close(AC$6,$A153,1)</f>
        <v>4011.71</v>
      </c>
      <c r="AD153" s="12" cm="1">
        <f t="array" ref="AD153">[1]!s_dq_close(AD$6,$A153,1)</f>
        <v>3989</v>
      </c>
      <c r="AE153" s="12" cm="1">
        <f t="array" ref="AE153">[1]!s_dq_close(AE$6,$A153,1)</f>
        <v>4072</v>
      </c>
      <c r="AF153" s="12" cm="1">
        <f t="array" ref="AF153">[1]!s_dq_close(AF$6,$A153,1)</f>
        <v>795.5</v>
      </c>
      <c r="AG153" s="12">
        <f>[1]!s_dq_close($AG$6,$A153)</f>
        <v>-1640</v>
      </c>
      <c r="AH153" s="11">
        <f>[1]!s_dq_close($AH$6,A153)</f>
        <v>6.8762999999999996</v>
      </c>
    </row>
    <row r="154" spans="1:34">
      <c r="A154" s="5">
        <v>45018</v>
      </c>
      <c r="B154" s="6">
        <v>2.8527999999999998</v>
      </c>
      <c r="C154" s="6">
        <v>3.0215000000000001</v>
      </c>
      <c r="D154" s="6">
        <v>2.9539</v>
      </c>
      <c r="E154" s="6">
        <v>3.48</v>
      </c>
      <c r="F154" s="6">
        <v>2.3889999999999998</v>
      </c>
      <c r="G154" s="6">
        <v>2.7665000000000002</v>
      </c>
      <c r="H154" s="6">
        <v>4.6399999999999997</v>
      </c>
      <c r="I154" s="6">
        <v>2.3917999999999999</v>
      </c>
      <c r="J154" s="10">
        <v>1.1599999999999999</v>
      </c>
      <c r="K154" s="10">
        <v>226.07</v>
      </c>
      <c r="L154" s="10"/>
      <c r="M154" s="1" cm="1">
        <f t="array" ref="M154">[1]!s_val_pe_ttm(M$6,$A154)</f>
        <v>13.3424997329712</v>
      </c>
      <c r="N154" s="1" cm="1">
        <f t="array" ref="N154">[1]!s_val_pe_ttm(N$6,$A154)</f>
        <v>23.458400726318398</v>
      </c>
      <c r="O154" s="1" cm="1">
        <f t="array" ref="O154">[1]!s_val_pb_lf(O$6,$A154)</f>
        <v>1.3417999744415301</v>
      </c>
      <c r="P154" s="1" cm="1">
        <f t="array" ref="P154">[1]!s_val_pb_lf(P$6,$A154)</f>
        <v>3.9475998878478999</v>
      </c>
      <c r="Q154" s="1">
        <f>[1]!cb_anal_convpremiumratio($Q$6,A154-2)</f>
        <v>45.377501502145897</v>
      </c>
      <c r="S154" s="1">
        <f>[1]!cb_anal_straightbondpremiumratio($S$6,A154-3)</f>
        <v>0</v>
      </c>
      <c r="T154" s="9" cm="1">
        <f t="array" ref="T154">[1]!s_dq_close(T$6,$A154,1)</f>
        <v>18.7</v>
      </c>
      <c r="U154" s="9" cm="1">
        <f t="array" ref="U154">[1]!s_dq_close(U$6,$A154,1)</f>
        <v>6.8712999999999997</v>
      </c>
      <c r="V154" s="9" cm="1">
        <f t="array" ref="V154">[1]!s_dq_close(V$6,$A154,1)</f>
        <v>102.59699999999999</v>
      </c>
      <c r="W154" s="11" cm="1">
        <f t="array" ref="W154">[1]!s_dq_close(W$6,$A154,1)</f>
        <v>441.2</v>
      </c>
      <c r="X154" s="11" cm="1">
        <f t="array" ref="X154">[1]!s_dq_close(X$6,$A154,1)</f>
        <v>1987</v>
      </c>
      <c r="Y154" s="11" cm="1">
        <f t="array" ref="Y154">[1]!s_dq_close(Y$6,$A154,1)</f>
        <v>75.7</v>
      </c>
      <c r="Z154" s="11" cm="1">
        <f t="array" ref="Z154">[1]!s_dq_close(Z$6,$A154,1)</f>
        <v>79.930000000000007</v>
      </c>
      <c r="AA154" s="12" cm="1">
        <f t="array" ref="AA154">[1]!s_dq_oi(AA$6,$A154)</f>
        <v>843355</v>
      </c>
      <c r="AB154" s="12" cm="1">
        <f t="array" ref="AB154">[1]!s_dq_close(AB$6,$A154,1)</f>
        <v>3511</v>
      </c>
      <c r="AC154" s="12" cm="1">
        <f t="array" ref="AC154">[1]!s_dq_close(AC$6,$A154,1)</f>
        <v>3858.57</v>
      </c>
      <c r="AD154" s="12" cm="1">
        <f t="array" ref="AD154">[1]!s_dq_close(AD$6,$A154,1)</f>
        <v>4161</v>
      </c>
      <c r="AE154" s="12" cm="1">
        <f t="array" ref="AE154">[1]!s_dq_close(AE$6,$A154,1)</f>
        <v>4292</v>
      </c>
      <c r="AF154" s="12" cm="1">
        <f t="array" ref="AF154">[1]!s_dq_close(AF$6,$A154,1)</f>
        <v>907</v>
      </c>
      <c r="AG154" s="12">
        <f>[1]!s_dq_close($AG$6,$A154)</f>
        <v>-1750</v>
      </c>
      <c r="AH154" s="11">
        <f>[1]!s_dq_close($AH$6,A154)</f>
        <v>6.8741000000000003</v>
      </c>
    </row>
    <row r="155" spans="1:34">
      <c r="A155" s="5">
        <v>45011</v>
      </c>
      <c r="B155" s="6">
        <v>2.8675999999999999</v>
      </c>
      <c r="C155" s="6">
        <v>3.0249999999999999</v>
      </c>
      <c r="D155" s="6">
        <v>2.97</v>
      </c>
      <c r="E155" s="6">
        <v>3.38</v>
      </c>
      <c r="F155" s="6">
        <v>2.4580000000000002</v>
      </c>
      <c r="G155" s="6">
        <v>2.7692000000000001</v>
      </c>
      <c r="H155" s="6">
        <v>4.32</v>
      </c>
      <c r="I155" s="6">
        <v>2.4077999999999999</v>
      </c>
      <c r="J155" s="10">
        <v>1.1599999999999999</v>
      </c>
      <c r="K155" s="10">
        <v>225.31</v>
      </c>
      <c r="L155" s="10"/>
      <c r="M155" s="1" cm="1">
        <f t="array" ref="M155">[1]!s_val_pe_ttm(M$6,$A155)</f>
        <v>13.315600395202599</v>
      </c>
      <c r="N155" s="1" cm="1">
        <f t="array" ref="N155">[1]!s_val_pe_ttm(N$6,$A155)</f>
        <v>22.717699050903299</v>
      </c>
      <c r="O155" s="1" cm="1">
        <f t="array" ref="O155">[1]!s_val_pb_lf(O$6,$A155)</f>
        <v>1.3537000417709399</v>
      </c>
      <c r="P155" s="1" cm="1">
        <f t="array" ref="P155">[1]!s_val_pb_lf(P$6,$A155)</f>
        <v>3.8306999206543</v>
      </c>
      <c r="Q155" s="1">
        <f>[1]!cb_anal_convpremiumratio($Q$6,A155-2)</f>
        <v>44.259198081023399</v>
      </c>
      <c r="S155" s="1">
        <f>[1]!cb_anal_straightbondpremiumratio($S$6,A155-3)</f>
        <v>0</v>
      </c>
      <c r="T155" s="9" cm="1">
        <f t="array" ref="T155">[1]!s_dq_close(T$6,$A155,1)</f>
        <v>21.74</v>
      </c>
      <c r="U155" s="9" cm="1">
        <f t="array" ref="U155">[1]!s_dq_close(U$6,$A155,1)</f>
        <v>6.8654999999999999</v>
      </c>
      <c r="V155" s="9" cm="1">
        <f t="array" ref="V155">[1]!s_dq_close(V$6,$A155,1)</f>
        <v>103.10599999999999</v>
      </c>
      <c r="W155" s="11" cm="1">
        <f t="array" ref="W155">[1]!s_dq_close(W$6,$A155,1)</f>
        <v>440.7</v>
      </c>
      <c r="X155" s="11" cm="1">
        <f t="array" ref="X155">[1]!s_dq_close(X$6,$A155,1)</f>
        <v>1981</v>
      </c>
      <c r="Y155" s="11" cm="1">
        <f t="array" ref="Y155">[1]!s_dq_close(Y$6,$A155,1)</f>
        <v>69.2</v>
      </c>
      <c r="Z155" s="11" cm="1">
        <f t="array" ref="Z155">[1]!s_dq_close(Z$6,$A155,1)</f>
        <v>74.61</v>
      </c>
      <c r="AA155" s="12" cm="1">
        <f t="array" ref="AA155">[1]!s_dq_oi(AA$6,$A155)</f>
        <v>942664</v>
      </c>
      <c r="AB155" s="12" cm="1">
        <f t="array" ref="AB155">[1]!s_dq_close(AB$6,$A155,1)</f>
        <v>3507</v>
      </c>
      <c r="AC155" s="12" cm="1">
        <f t="array" ref="AC155">[1]!s_dq_close(AC$6,$A155,1)</f>
        <v>3808</v>
      </c>
      <c r="AD155" s="12" cm="1">
        <f t="array" ref="AD155">[1]!s_dq_close(AD$6,$A155,1)</f>
        <v>4107</v>
      </c>
      <c r="AE155" s="12" cm="1">
        <f t="array" ref="AE155">[1]!s_dq_close(AE$6,$A155,1)</f>
        <v>4253</v>
      </c>
      <c r="AF155" s="12" cm="1">
        <f t="array" ref="AF155">[1]!s_dq_close(AF$6,$A155,1)</f>
        <v>866.5</v>
      </c>
      <c r="AG155" s="12">
        <f>[1]!s_dq_close($AG$6,$A155)</f>
        <v>-1602</v>
      </c>
      <c r="AH155" s="11">
        <f>[1]!s_dq_close($AH$6,A155)</f>
        <v>6.8707000000000003</v>
      </c>
    </row>
    <row r="156" spans="1:34">
      <c r="A156" s="5">
        <v>45004</v>
      </c>
      <c r="B156" s="6">
        <v>2.8601999999999999</v>
      </c>
      <c r="C156" s="6">
        <v>3.02</v>
      </c>
      <c r="D156" s="6">
        <v>2.9698000000000002</v>
      </c>
      <c r="E156" s="6">
        <v>3.39</v>
      </c>
      <c r="F156" s="6">
        <v>2.496</v>
      </c>
      <c r="G156" s="6">
        <v>2.7942</v>
      </c>
      <c r="H156" s="6">
        <v>4.26</v>
      </c>
      <c r="I156" s="6">
        <v>2.4134000000000002</v>
      </c>
      <c r="J156" s="10">
        <v>1.29</v>
      </c>
      <c r="K156" s="10">
        <v>0</v>
      </c>
      <c r="L156" s="10"/>
      <c r="M156" s="1" cm="1">
        <f t="array" ref="M156">[1]!s_val_pe_ttm(M$6,$A156)</f>
        <v>13.322600364685099</v>
      </c>
      <c r="N156" s="1" cm="1">
        <f t="array" ref="N156">[1]!s_val_pe_ttm(N$6,$A156)</f>
        <v>22.4002990722656</v>
      </c>
      <c r="O156" s="1" cm="1">
        <f t="array" ref="O156">[1]!s_val_pb_lf(O$6,$A156)</f>
        <v>1.3553999662399301</v>
      </c>
      <c r="P156" s="1" cm="1">
        <f t="array" ref="P156">[1]!s_val_pb_lf(P$6,$A156)</f>
        <v>3.7690000534057599</v>
      </c>
      <c r="Q156" s="1">
        <f>[1]!cb_anal_convpremiumratio($Q$6,A156-2)</f>
        <v>45.191013191489297</v>
      </c>
      <c r="S156" s="1">
        <f>[1]!cb_anal_straightbondpremiumratio($S$6,A156-3)</f>
        <v>0</v>
      </c>
      <c r="T156" s="9" cm="1">
        <f t="array" ref="T156">[1]!s_dq_close(T$6,$A156,1)</f>
        <v>25.51</v>
      </c>
      <c r="U156" s="9" cm="1">
        <f t="array" ref="U156">[1]!s_dq_close(U$6,$A156,1)</f>
        <v>6.8765000000000001</v>
      </c>
      <c r="V156" s="9" cm="1">
        <f t="array" ref="V156">[1]!s_dq_close(V$6,$A156,1)</f>
        <v>103.86369999999999</v>
      </c>
      <c r="W156" s="11" cm="1">
        <f t="array" ref="W156">[1]!s_dq_close(W$6,$A156,1)</f>
        <v>432.44</v>
      </c>
      <c r="X156" s="11" cm="1">
        <f t="array" ref="X156">[1]!s_dq_close(X$6,$A156,1)</f>
        <v>1993.7</v>
      </c>
      <c r="Y156" s="11" cm="1">
        <f t="array" ref="Y156">[1]!s_dq_close(Y$6,$A156,1)</f>
        <v>66.34</v>
      </c>
      <c r="Z156" s="11" cm="1">
        <f t="array" ref="Z156">[1]!s_dq_close(Z$6,$A156,1)</f>
        <v>72.52</v>
      </c>
      <c r="AA156" s="12" cm="1">
        <f t="array" ref="AA156">[1]!s_dq_oi(AA$6,$A156)</f>
        <v>1099683</v>
      </c>
      <c r="AB156" s="12" cm="1">
        <f t="array" ref="AB156">[1]!s_dq_close(AB$6,$A156,1)</f>
        <v>3701</v>
      </c>
      <c r="AC156" s="12" cm="1">
        <f t="array" ref="AC156">[1]!s_dq_close(AC$6,$A156,1)</f>
        <v>4127.1400000000003</v>
      </c>
      <c r="AD156" s="12" cm="1">
        <f t="array" ref="AD156">[1]!s_dq_close(AD$6,$A156,1)</f>
        <v>4262</v>
      </c>
      <c r="AE156" s="12" cm="1">
        <f t="array" ref="AE156">[1]!s_dq_close(AE$6,$A156,1)</f>
        <v>4359</v>
      </c>
      <c r="AF156" s="12" cm="1">
        <f t="array" ref="AF156">[1]!s_dq_close(AF$6,$A156,1)</f>
        <v>915</v>
      </c>
      <c r="AG156" s="12">
        <f>[1]!s_dq_close($AG$6,$A156)</f>
        <v>-1672</v>
      </c>
      <c r="AH156" s="11">
        <f>[1]!s_dq_close($AH$6,A156)</f>
        <v>6.8898000000000001</v>
      </c>
    </row>
    <row r="157" spans="1:34">
      <c r="A157" s="5">
        <v>44997</v>
      </c>
      <c r="B157" s="6">
        <v>2.8626999999999998</v>
      </c>
      <c r="C157" s="6">
        <v>3.0274999999999999</v>
      </c>
      <c r="D157" s="6">
        <v>2.9496000000000002</v>
      </c>
      <c r="E157" s="6">
        <v>3.7</v>
      </c>
      <c r="F157" s="6">
        <v>2.5329999999999999</v>
      </c>
      <c r="G157" s="6">
        <v>2.7924000000000002</v>
      </c>
      <c r="H157" s="6">
        <v>4.9000000000000004</v>
      </c>
      <c r="I157" s="6">
        <v>2.4308000000000001</v>
      </c>
      <c r="J157" s="10">
        <v>1.44</v>
      </c>
      <c r="K157" s="10">
        <v>215.17</v>
      </c>
      <c r="L157" s="10"/>
      <c r="M157" s="1" cm="1">
        <f t="array" ref="M157">[1]!s_val_pe_ttm(M$6,$A157)</f>
        <v>13.1051998138428</v>
      </c>
      <c r="N157" s="1" cm="1">
        <f t="array" ref="N157">[1]!s_val_pe_ttm(N$6,$A157)</f>
        <v>21.947900772094702</v>
      </c>
      <c r="O157" s="1" cm="1">
        <f t="array" ref="O157">[1]!s_val_pb_lf(O$6,$A157)</f>
        <v>1.33910000324249</v>
      </c>
      <c r="P157" s="1" cm="1">
        <f t="array" ref="P157">[1]!s_val_pb_lf(P$6,$A157)</f>
        <v>3.6907999515533398</v>
      </c>
      <c r="Q157" s="1">
        <f>[1]!cb_anal_convpremiumratio($Q$6,A157-2)</f>
        <v>43.574023940678003</v>
      </c>
      <c r="S157" s="1">
        <f>[1]!cb_anal_straightbondpremiumratio($S$6,A157-3)</f>
        <v>0</v>
      </c>
      <c r="T157" s="9" cm="1">
        <f t="array" ref="T157">[1]!s_dq_close(T$6,$A157,1)</f>
        <v>24.8</v>
      </c>
      <c r="U157" s="9" cm="1">
        <f t="array" ref="U157">[1]!s_dq_close(U$6,$A157,1)</f>
        <v>6.9653</v>
      </c>
      <c r="V157" s="9" cm="1">
        <f t="array" ref="V157">[1]!s_dq_close(V$6,$A157,1)</f>
        <v>104.6502</v>
      </c>
      <c r="W157" s="11" cm="1">
        <f t="array" ref="W157">[1]!s_dq_close(W$6,$A157,1)</f>
        <v>416.76</v>
      </c>
      <c r="X157" s="11" cm="1">
        <f t="array" ref="X157">[1]!s_dq_close(X$6,$A157,1)</f>
        <v>1872.7</v>
      </c>
      <c r="Y157" s="11" cm="1">
        <f t="array" ref="Y157">[1]!s_dq_close(Y$6,$A157,1)</f>
        <v>76.680000000000007</v>
      </c>
      <c r="Z157" s="11" cm="1">
        <f t="array" ref="Z157">[1]!s_dq_close(Z$6,$A157,1)</f>
        <v>82.64</v>
      </c>
      <c r="AA157" s="12" cm="1">
        <f t="array" ref="AA157">[1]!s_dq_oi(AA$6,$A157)</f>
        <v>1170702</v>
      </c>
      <c r="AB157" s="12" cm="1">
        <f t="array" ref="AB157">[1]!s_dq_close(AB$6,$A157,1)</f>
        <v>3799</v>
      </c>
      <c r="AC157" s="12" cm="1">
        <f t="array" ref="AC157">[1]!s_dq_close(AC$6,$A157,1)</f>
        <v>4245.1400000000003</v>
      </c>
      <c r="AD157" s="12" cm="1">
        <f t="array" ref="AD157">[1]!s_dq_close(AD$6,$A157,1)</f>
        <v>4314</v>
      </c>
      <c r="AE157" s="12" cm="1">
        <f t="array" ref="AE157">[1]!s_dq_close(AE$6,$A157,1)</f>
        <v>4396</v>
      </c>
      <c r="AF157" s="12" cm="1">
        <f t="array" ref="AF157">[1]!s_dq_close(AF$6,$A157,1)</f>
        <v>910</v>
      </c>
      <c r="AG157" s="12">
        <f>[1]!s_dq_close($AG$6,$A157)</f>
        <v>-2058</v>
      </c>
      <c r="AH157" s="11">
        <f>[1]!s_dq_close($AH$6,A157)</f>
        <v>6.9389000000000003</v>
      </c>
    </row>
    <row r="158" spans="1:34">
      <c r="A158" s="5">
        <v>44990</v>
      </c>
      <c r="B158" s="6">
        <v>2.9026000000000001</v>
      </c>
      <c r="C158" s="6">
        <v>3.0916000000000001</v>
      </c>
      <c r="D158" s="6">
        <v>3.0806</v>
      </c>
      <c r="E158" s="6">
        <v>3.97</v>
      </c>
      <c r="F158" s="6">
        <v>2.4803999999999999</v>
      </c>
      <c r="G158" s="6">
        <v>2.8639999999999999</v>
      </c>
      <c r="H158" s="6">
        <v>5.03</v>
      </c>
      <c r="I158" s="6">
        <v>2.4647000000000001</v>
      </c>
      <c r="J158" s="10">
        <v>1.45</v>
      </c>
      <c r="K158" s="10">
        <v>222.02</v>
      </c>
      <c r="L158" s="10"/>
      <c r="M158" s="1" cm="1">
        <f t="array" ref="M158">[1]!s_val_pe_ttm(M$6,$A158)</f>
        <v>13.4858999252319</v>
      </c>
      <c r="N158" s="1" cm="1">
        <f t="array" ref="N158">[1]!s_val_pe_ttm(N$6,$A158)</f>
        <v>22.975700378418001</v>
      </c>
      <c r="O158" s="1" cm="1">
        <f t="array" ref="O158">[1]!s_val_pb_lf(O$6,$A158)</f>
        <v>1.3769999742507899</v>
      </c>
      <c r="P158" s="1" cm="1">
        <f t="array" ref="P158">[1]!s_val_pb_lf(P$6,$A158)</f>
        <v>3.8657000064849898</v>
      </c>
      <c r="Q158" s="1">
        <f>[1]!cb_anal_convpremiumratio($Q$6,A158-2)</f>
        <v>40.998071940928298</v>
      </c>
      <c r="S158" s="1">
        <f>[1]!cb_anal_straightbondpremiumratio($S$6,A158-3)</f>
        <v>0</v>
      </c>
      <c r="T158" s="9" cm="1">
        <f t="array" ref="T158">[1]!s_dq_close(T$6,$A158,1)</f>
        <v>18.489999999999998</v>
      </c>
      <c r="U158" s="9" cm="1">
        <f t="array" ref="U158">[1]!s_dq_close(U$6,$A158,1)</f>
        <v>6.9001999999999999</v>
      </c>
      <c r="V158" s="9" cm="1">
        <f t="array" ref="V158">[1]!s_dq_close(V$6,$A158,1)</f>
        <v>104.5288</v>
      </c>
      <c r="W158" s="11" cm="1">
        <f t="array" ref="W158">[1]!s_dq_close(W$6,$A158,1)</f>
        <v>415.58</v>
      </c>
      <c r="X158" s="11" cm="1">
        <f t="array" ref="X158">[1]!s_dq_close(X$6,$A158,1)</f>
        <v>1862.8</v>
      </c>
      <c r="Y158" s="11" cm="1">
        <f t="array" ref="Y158">[1]!s_dq_close(Y$6,$A158,1)</f>
        <v>79.849999999999994</v>
      </c>
      <c r="Z158" s="11" cm="1">
        <f t="array" ref="Z158">[1]!s_dq_close(Z$6,$A158,1)</f>
        <v>86</v>
      </c>
      <c r="AA158" s="12" cm="1">
        <f t="array" ref="AA158">[1]!s_dq_oi(AA$6,$A158)</f>
        <v>1291238</v>
      </c>
      <c r="AB158" s="12" cm="1">
        <f t="array" ref="AB158">[1]!s_dq_close(AB$6,$A158,1)</f>
        <v>3763</v>
      </c>
      <c r="AC158" s="12" cm="1">
        <f t="array" ref="AC158">[1]!s_dq_close(AC$6,$A158,1)</f>
        <v>4280</v>
      </c>
      <c r="AD158" s="12" cm="1">
        <f t="array" ref="AD158">[1]!s_dq_close(AD$6,$A158,1)</f>
        <v>4272</v>
      </c>
      <c r="AE158" s="12" cm="1">
        <f t="array" ref="AE158">[1]!s_dq_close(AE$6,$A158,1)</f>
        <v>4371</v>
      </c>
      <c r="AF158" s="12" cm="1">
        <f t="array" ref="AF158">[1]!s_dq_close(AF$6,$A158,1)</f>
        <v>919</v>
      </c>
      <c r="AG158" s="12">
        <f>[1]!s_dq_close($AG$6,$A158)</f>
        <v>-1860</v>
      </c>
      <c r="AH158" s="11">
        <f>[1]!s_dq_close($AH$6,A158)</f>
        <v>6.8971999999999998</v>
      </c>
    </row>
    <row r="159" spans="1:34">
      <c r="A159" s="5">
        <v>44983</v>
      </c>
      <c r="B159" s="6">
        <v>2.9125999999999999</v>
      </c>
      <c r="C159" s="6">
        <v>3.0806</v>
      </c>
      <c r="D159" s="6">
        <v>3.0217999999999998</v>
      </c>
      <c r="E159" s="6">
        <v>3.95</v>
      </c>
      <c r="F159" s="6">
        <v>2.4678</v>
      </c>
      <c r="G159" s="6">
        <v>2.8273000000000001</v>
      </c>
      <c r="H159" s="6">
        <v>5.05</v>
      </c>
      <c r="I159" s="6">
        <v>2.492</v>
      </c>
      <c r="J159" s="10">
        <v>1.57</v>
      </c>
      <c r="K159" s="10">
        <v>209.28</v>
      </c>
      <c r="L159" s="10"/>
      <c r="M159" s="1" cm="1">
        <f t="array" ref="M159">[1]!s_val_pe_ttm(M$6,$A159)</f>
        <v>13.1553001403809</v>
      </c>
      <c r="N159" s="1" cm="1">
        <f t="array" ref="N159">[1]!s_val_pe_ttm(N$6,$A159)</f>
        <v>22.25950050354</v>
      </c>
      <c r="O159" s="1" cm="1">
        <f t="array" ref="O159">[1]!s_val_pb_lf(O$6,$A159)</f>
        <v>1.3459000587463399</v>
      </c>
      <c r="P159" s="1" cm="1">
        <f t="array" ref="P159">[1]!s_val_pb_lf(P$6,$A159)</f>
        <v>3.79830002784729</v>
      </c>
      <c r="Q159" s="1">
        <f>[1]!cb_anal_convpremiumratio($Q$6,A159-2)</f>
        <v>40.062336538461501</v>
      </c>
      <c r="S159" s="1">
        <f>[1]!cb_anal_straightbondpremiumratio($S$6,A159-3)</f>
        <v>0</v>
      </c>
      <c r="T159" s="9" cm="1">
        <f t="array" ref="T159">[1]!s_dq_close(T$6,$A159,1)</f>
        <v>21.67</v>
      </c>
      <c r="U159" s="9" cm="1">
        <f t="array" ref="U159">[1]!s_dq_close(U$6,$A159,1)</f>
        <v>6.9442000000000004</v>
      </c>
      <c r="V159" s="9" cm="1">
        <f t="array" ref="V159">[1]!s_dq_close(V$6,$A159,1)</f>
        <v>105.26179999999999</v>
      </c>
      <c r="W159" s="11" cm="1">
        <f t="array" ref="W159">[1]!s_dq_close(W$6,$A159,1)</f>
        <v>413.14</v>
      </c>
      <c r="X159" s="11" cm="1">
        <f t="array" ref="X159">[1]!s_dq_close(X$6,$A159,1)</f>
        <v>1818</v>
      </c>
      <c r="Y159" s="11" cm="1">
        <f t="array" ref="Y159">[1]!s_dq_close(Y$6,$A159,1)</f>
        <v>76.45</v>
      </c>
      <c r="Z159" s="11" cm="1">
        <f t="array" ref="Z159">[1]!s_dq_close(Z$6,$A159,1)</f>
        <v>82.85</v>
      </c>
      <c r="AA159" s="12" cm="1">
        <f t="array" ref="AA159">[1]!s_dq_oi(AA$6,$A159)</f>
        <v>1301166</v>
      </c>
      <c r="AB159" s="12" cm="1">
        <f t="array" ref="AB159">[1]!s_dq_close(AB$6,$A159,1)</f>
        <v>3859</v>
      </c>
      <c r="AC159" s="12" cm="1">
        <f t="array" ref="AC159">[1]!s_dq_close(AC$6,$A159,1)</f>
        <v>4477.1400000000003</v>
      </c>
      <c r="AD159" s="12" cm="1">
        <f t="array" ref="AD159">[1]!s_dq_close(AD$6,$A159,1)</f>
        <v>4224</v>
      </c>
      <c r="AE159" s="12" cm="1">
        <f t="array" ref="AE159">[1]!s_dq_close(AE$6,$A159,1)</f>
        <v>4296</v>
      </c>
      <c r="AF159" s="12" cm="1">
        <f t="array" ref="AF159">[1]!s_dq_close(AF$6,$A159,1)</f>
        <v>909.5</v>
      </c>
      <c r="AG159" s="12">
        <f>[1]!s_dq_close($AG$6,$A159)</f>
        <v>-1826</v>
      </c>
      <c r="AH159" s="11">
        <f>[1]!s_dq_close($AH$6,A159)</f>
        <v>6.98</v>
      </c>
    </row>
    <row r="160" spans="1:34">
      <c r="A160" s="5">
        <v>44976</v>
      </c>
      <c r="B160" s="6">
        <v>2.8919999999999999</v>
      </c>
      <c r="C160" s="6">
        <v>3.0550999999999999</v>
      </c>
      <c r="D160" s="6">
        <v>2.8931</v>
      </c>
      <c r="E160" s="6">
        <v>3.82</v>
      </c>
      <c r="F160" s="6">
        <v>2.3820999999999999</v>
      </c>
      <c r="G160" s="6">
        <v>2.6953</v>
      </c>
      <c r="H160" s="6">
        <v>5</v>
      </c>
      <c r="I160" s="6">
        <v>2.4472</v>
      </c>
      <c r="J160" s="10">
        <v>1.46</v>
      </c>
      <c r="K160" s="10">
        <v>0</v>
      </c>
    </row>
    <row r="161" spans="1:11">
      <c r="A161" s="5">
        <v>44969</v>
      </c>
      <c r="B161" s="6">
        <v>2.9003000000000001</v>
      </c>
      <c r="C161" s="6">
        <v>3.0581</v>
      </c>
      <c r="D161" s="6">
        <v>2.9338000000000002</v>
      </c>
      <c r="E161" s="6">
        <v>3.74</v>
      </c>
      <c r="F161" s="6">
        <v>2.3271000000000002</v>
      </c>
      <c r="G161" s="6">
        <v>2.7280000000000002</v>
      </c>
      <c r="H161" s="6">
        <v>4.8899999999999997</v>
      </c>
      <c r="I161" s="6">
        <v>2.4380000000000002</v>
      </c>
      <c r="J161" s="10">
        <v>1.41</v>
      </c>
      <c r="K161" s="10">
        <v>206.21</v>
      </c>
    </row>
    <row r="162" spans="1:11">
      <c r="A162" s="5">
        <v>44962</v>
      </c>
      <c r="B162" s="6">
        <v>2.8942999999999999</v>
      </c>
      <c r="C162" s="6">
        <v>3.0543999999999998</v>
      </c>
      <c r="D162" s="6">
        <v>2.9702999999999999</v>
      </c>
      <c r="E162" s="6">
        <v>3.53</v>
      </c>
      <c r="F162" s="6">
        <v>2.3058999999999998</v>
      </c>
      <c r="G162" s="6">
        <v>2.7057000000000002</v>
      </c>
      <c r="H162" s="6">
        <v>4.79</v>
      </c>
      <c r="I162" s="6">
        <v>2.4196</v>
      </c>
      <c r="J162" s="10">
        <v>1.31</v>
      </c>
      <c r="K162" s="10">
        <v>198.72</v>
      </c>
    </row>
    <row r="163" spans="1:11">
      <c r="A163" s="5">
        <v>44899</v>
      </c>
      <c r="B163" s="6">
        <v>2.8675999999999999</v>
      </c>
      <c r="C163" s="6">
        <v>2.9903</v>
      </c>
      <c r="D163" s="6">
        <v>2.9704999999999999</v>
      </c>
      <c r="E163" s="6">
        <v>3.51</v>
      </c>
      <c r="F163" s="6">
        <v>2.2812000000000001</v>
      </c>
      <c r="G163" s="6">
        <v>2.6764000000000001</v>
      </c>
      <c r="H163" s="6">
        <v>4.6900000000000004</v>
      </c>
      <c r="I163" s="6">
        <v>2.3327</v>
      </c>
      <c r="J163" s="10">
        <v>1.08</v>
      </c>
      <c r="K163" s="10">
        <v>202.85</v>
      </c>
    </row>
  </sheetData>
  <phoneticPr fontId="1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149E-CE59-4500-8A2D-39470929CE1F}">
  <sheetPr codeName="Sheet4"/>
  <dimension ref="A1:J158"/>
  <sheetViews>
    <sheetView zoomScale="208" zoomScaleNormal="330" workbookViewId="0">
      <selection activeCell="C3" sqref="C3"/>
    </sheetView>
  </sheetViews>
  <sheetFormatPr baseColWidth="10" defaultColWidth="8.83203125" defaultRowHeight="15"/>
  <cols>
    <col min="1" max="1" width="12.5" bestFit="1" customWidth="1"/>
    <col min="2" max="3" width="9.1640625" bestFit="1" customWidth="1"/>
    <col min="4" max="4" width="11.83203125" bestFit="1" customWidth="1"/>
    <col min="5" max="7" width="9" bestFit="1" customWidth="1"/>
    <col min="8" max="8" width="9.1640625" bestFit="1" customWidth="1"/>
  </cols>
  <sheetData>
    <row r="1" spans="1:10">
      <c r="B1" s="26" t="s">
        <v>1</v>
      </c>
      <c r="C1" s="26"/>
      <c r="D1" s="26"/>
      <c r="E1" s="26" t="s">
        <v>2</v>
      </c>
      <c r="F1" s="26"/>
      <c r="G1" s="26"/>
      <c r="H1" s="26" t="s">
        <v>3</v>
      </c>
      <c r="I1" s="26"/>
      <c r="J1" s="26"/>
    </row>
    <row r="2" spans="1:10">
      <c r="A2" t="s">
        <v>54</v>
      </c>
      <c r="B2" t="s">
        <v>7</v>
      </c>
      <c r="C2" t="s">
        <v>8</v>
      </c>
      <c r="D2" t="s">
        <v>9</v>
      </c>
      <c r="E2" s="13" t="s">
        <v>97</v>
      </c>
      <c r="F2" s="13" t="s">
        <v>98</v>
      </c>
      <c r="G2" s="13" t="s">
        <v>99</v>
      </c>
      <c r="H2" t="s">
        <v>7</v>
      </c>
      <c r="I2" t="s">
        <v>8</v>
      </c>
      <c r="J2" t="s">
        <v>9</v>
      </c>
    </row>
    <row r="3" spans="1:10">
      <c r="A3" s="7">
        <f>所有指标!A7</f>
        <v>46047</v>
      </c>
      <c r="B3">
        <f>所有指标!M7</f>
        <v>17.091199874877901</v>
      </c>
      <c r="C3">
        <f>所有指标!O7</f>
        <v>1.5523999929428101</v>
      </c>
      <c r="D3">
        <f>1/B3-所有指标!B7/100</f>
        <v>4.0211642817405989E-2</v>
      </c>
      <c r="E3">
        <v>0.30935084940082952</v>
      </c>
      <c r="F3">
        <v>0.1776821985</v>
      </c>
      <c r="G3">
        <v>0.35448331824914092</v>
      </c>
      <c r="H3">
        <f>所有指标!N7</f>
        <v>29.515699386596701</v>
      </c>
      <c r="I3">
        <f>所有指标!P7</f>
        <v>5.5701999664306596</v>
      </c>
      <c r="J3">
        <f>1/H3-所有指标!E7/100</f>
        <v>-8.5197254077568133E-3</v>
      </c>
    </row>
    <row r="4" spans="1:10">
      <c r="A4" s="7">
        <f>所有指标!A8</f>
        <v>46040</v>
      </c>
      <c r="B4">
        <f>所有指标!M8</f>
        <v>17.0165004730225</v>
      </c>
      <c r="C4">
        <f>所有指标!O8</f>
        <v>1.54449999332428</v>
      </c>
      <c r="D4">
        <f>1/B4-所有指标!B8/100</f>
        <v>4.0342489713050753E-2</v>
      </c>
      <c r="E4">
        <v>0.30576698499317878</v>
      </c>
      <c r="F4">
        <v>0.18724607469999999</v>
      </c>
      <c r="G4">
        <v>0.35989057692154758</v>
      </c>
      <c r="H4">
        <f>所有指标!N8</f>
        <v>29.608299255371101</v>
      </c>
      <c r="I4">
        <f>所有指标!P8</f>
        <v>5.5998997688293501</v>
      </c>
      <c r="J4">
        <f>1/H4-所有指标!E8/100</f>
        <v>-8.625685866823482E-3</v>
      </c>
    </row>
    <row r="5" spans="1:10">
      <c r="A5" s="7">
        <f>所有指标!A9</f>
        <v>46033</v>
      </c>
      <c r="B5">
        <f>所有指标!M9</f>
        <v>17.135900497436499</v>
      </c>
      <c r="C5">
        <f>所有指标!O9</f>
        <v>1.55350005626678</v>
      </c>
      <c r="D5">
        <f>1/B5-所有指标!B9/100</f>
        <v>3.9575014861845066E-2</v>
      </c>
      <c r="E5">
        <v>0.3200192730106679</v>
      </c>
      <c r="F5">
        <v>0.16724230955</v>
      </c>
      <c r="G5">
        <v>0.34514641292739368</v>
      </c>
      <c r="H5">
        <f>所有指标!N9</f>
        <v>29.747400283813501</v>
      </c>
      <c r="I5">
        <f>所有指标!P9</f>
        <v>5.6240000724792498</v>
      </c>
      <c r="J5">
        <f>1/H5-所有指标!E9/100</f>
        <v>-8.1836170401710165E-3</v>
      </c>
    </row>
    <row r="6" spans="1:10">
      <c r="A6" s="7">
        <f>所有指标!A10</f>
        <v>46026</v>
      </c>
      <c r="B6">
        <f>所有指标!M10</f>
        <v>16.590400695800799</v>
      </c>
      <c r="C6">
        <f>所有指标!O10</f>
        <v>1.50409996509552</v>
      </c>
      <c r="D6">
        <f>1/B6-所有指标!B10/100</f>
        <v>4.1848819634248517E-2</v>
      </c>
      <c r="E6">
        <v>0.33193252437703119</v>
      </c>
      <c r="F6">
        <v>0.16060898700000001</v>
      </c>
      <c r="G6">
        <v>0.35514697262595318</v>
      </c>
      <c r="H6">
        <f>所有指标!N10</f>
        <v>29.2409992218018</v>
      </c>
      <c r="I6">
        <f>所有指标!P10</f>
        <v>5.5286002159118697</v>
      </c>
      <c r="J6">
        <f>1/H6-所有指标!E10/100</f>
        <v>-7.7014422689628964E-3</v>
      </c>
    </row>
    <row r="7" spans="1:10">
      <c r="A7" s="7">
        <f>所有指标!A11</f>
        <v>46019</v>
      </c>
      <c r="B7">
        <f>所有指标!M11</f>
        <v>16.537300109863299</v>
      </c>
      <c r="C7">
        <f>所有指标!O11</f>
        <v>1.49960005283356</v>
      </c>
      <c r="D7">
        <f>1/B7-所有指标!B11/100</f>
        <v>4.20933627954162E-2</v>
      </c>
      <c r="E7">
        <v>0.36542722510700809</v>
      </c>
      <c r="F7">
        <v>0.14048908160000001</v>
      </c>
      <c r="G7">
        <v>0.34492040747717778</v>
      </c>
      <c r="H7">
        <f>所有指标!N11</f>
        <v>29.526699066162099</v>
      </c>
      <c r="I7">
        <f>所有指标!P11</f>
        <v>5.5826997756957999</v>
      </c>
      <c r="J7">
        <f>1/H7-所有指标!E11/100</f>
        <v>-7.5323469393160092E-3</v>
      </c>
    </row>
    <row r="8" spans="1:10">
      <c r="A8" s="7">
        <f>所有指标!A12</f>
        <v>46012</v>
      </c>
      <c r="B8">
        <f>所有指标!M12</f>
        <v>16.261299133300799</v>
      </c>
      <c r="C8">
        <f>所有指标!O12</f>
        <v>1.46860003471375</v>
      </c>
      <c r="D8">
        <f>1/B8-所有指标!B12/100</f>
        <v>4.318770165351328E-2</v>
      </c>
      <c r="E8">
        <v>0.36182228575935388</v>
      </c>
      <c r="F8">
        <v>0.14837711619999999</v>
      </c>
      <c r="G8">
        <v>0.35625004934895882</v>
      </c>
      <c r="H8">
        <f>所有指标!N12</f>
        <v>29.073600769043001</v>
      </c>
      <c r="I8">
        <f>所有指标!P12</f>
        <v>5.4928998947143599</v>
      </c>
      <c r="J8">
        <f>1/H8-所有指标!E12/100</f>
        <v>-7.2045356079601802E-3</v>
      </c>
    </row>
    <row r="9" spans="1:10">
      <c r="A9" s="7">
        <f>所有指标!A13</f>
        <v>46005</v>
      </c>
      <c r="B9">
        <f>所有指标!M13</f>
        <v>16.2401008605957</v>
      </c>
      <c r="C9">
        <f>所有指标!O13</f>
        <v>1.46930003166199</v>
      </c>
      <c r="D9">
        <f>1/B9-所有指标!B13/100</f>
        <v>4.3179972254357005E-2</v>
      </c>
      <c r="E9">
        <v>0.3555927260737628</v>
      </c>
      <c r="F9">
        <v>0.13546802425000001</v>
      </c>
      <c r="G9">
        <v>0.33269427221440062</v>
      </c>
      <c r="H9">
        <f>所有指标!N13</f>
        <v>29.0389003753662</v>
      </c>
      <c r="I9">
        <f>所有指标!P13</f>
        <v>5.4923000335693404</v>
      </c>
      <c r="J9">
        <f>1/H9-所有指标!E13/100</f>
        <v>-7.463434321765737E-3</v>
      </c>
    </row>
    <row r="10" spans="1:10">
      <c r="A10" s="7">
        <f>所有指标!A14</f>
        <v>45998</v>
      </c>
      <c r="B10">
        <f>所有指标!M14</f>
        <v>16.326900482177699</v>
      </c>
      <c r="C10">
        <f>所有指标!O14</f>
        <v>1.4744000434875499</v>
      </c>
      <c r="D10">
        <f>1/B10-所有指标!B14/100</f>
        <v>4.2768612441264717E-2</v>
      </c>
      <c r="E10">
        <v>0.39544172950819689</v>
      </c>
      <c r="F10">
        <v>0.1169117851</v>
      </c>
      <c r="G10">
        <v>0.33297937352463852</v>
      </c>
      <c r="H10">
        <f>所有指标!N14</f>
        <v>29.375099182128899</v>
      </c>
      <c r="I10">
        <f>所有指标!P14</f>
        <v>5.5479998588562003</v>
      </c>
      <c r="J10">
        <f>1/H10-所有指标!E14/100</f>
        <v>-7.3575617498382456E-3</v>
      </c>
    </row>
    <row r="11" spans="1:10">
      <c r="A11" s="7">
        <f>所有指标!A15</f>
        <v>45991</v>
      </c>
      <c r="B11">
        <f>所有指标!M15</f>
        <v>16.270399093627901</v>
      </c>
      <c r="C11">
        <f>所有指标!O15</f>
        <v>1.4704999923706099</v>
      </c>
      <c r="D11">
        <f>1/B11-所有指标!B15/100</f>
        <v>4.304930738683832E-2</v>
      </c>
      <c r="E11">
        <v>0.37087287446505002</v>
      </c>
      <c r="F11">
        <v>0.1086634794</v>
      </c>
      <c r="G11">
        <v>0.30529321769401652</v>
      </c>
      <c r="H11">
        <f>所有指标!N15</f>
        <v>29.2411994934082</v>
      </c>
      <c r="I11">
        <f>所有指标!P15</f>
        <v>5.5253000259399396</v>
      </c>
      <c r="J11">
        <f>1/H11-所有指标!E15/100</f>
        <v>-6.0016764932837724E-3</v>
      </c>
    </row>
    <row r="12" spans="1:10">
      <c r="A12" s="7">
        <f>所有指标!A16</f>
        <v>45984</v>
      </c>
      <c r="B12">
        <f>所有指标!M16</f>
        <v>16.100500106811499</v>
      </c>
      <c r="C12">
        <f>所有指标!O16</f>
        <v>1.45519995689392</v>
      </c>
      <c r="D12">
        <f>1/B12-所有指标!B16/100</f>
        <v>4.3943871952172385E-2</v>
      </c>
      <c r="E12">
        <v>0.29401857456889458</v>
      </c>
      <c r="F12">
        <v>0.14018654635</v>
      </c>
      <c r="G12">
        <v>0.30431333307526931</v>
      </c>
      <c r="H12">
        <f>所有指标!N16</f>
        <v>28.093000411987301</v>
      </c>
      <c r="I12">
        <f>所有指标!P16</f>
        <v>5.3137001991271999</v>
      </c>
      <c r="J12">
        <f>1/H12-所有指标!E16/100</f>
        <v>-5.0039445650205683E-3</v>
      </c>
    </row>
    <row r="13" spans="1:10">
      <c r="A13" s="7">
        <f>所有指标!A17</f>
        <v>45977</v>
      </c>
      <c r="B13">
        <f>所有指标!M17</f>
        <v>16.6427001953125</v>
      </c>
      <c r="C13">
        <f>所有指标!O17</f>
        <v>1.50450003147125</v>
      </c>
      <c r="D13">
        <f>1/B13-所有指标!B17/100</f>
        <v>4.1946403544158961E-2</v>
      </c>
      <c r="E13">
        <v>0.27065110408232113</v>
      </c>
      <c r="F13">
        <v>0.140475824</v>
      </c>
      <c r="G13">
        <v>0.28298021256810652</v>
      </c>
      <c r="H13">
        <f>所有指标!N17</f>
        <v>28.646600723266602</v>
      </c>
      <c r="I13">
        <f>所有指标!P17</f>
        <v>5.3990998268127397</v>
      </c>
      <c r="J13">
        <f>1/H13-所有指标!E17/100</f>
        <v>-6.4918442414772862E-3</v>
      </c>
    </row>
    <row r="14" spans="1:10">
      <c r="A14" s="7">
        <f>所有指标!A18</f>
        <v>45970</v>
      </c>
      <c r="B14">
        <f>所有指标!M18</f>
        <v>16.647499084472699</v>
      </c>
      <c r="C14">
        <f>所有指标!O18</f>
        <v>1.50380003452301</v>
      </c>
      <c r="D14">
        <f>1/B14-所有指标!B18/100</f>
        <v>4.1927082744849686E-2</v>
      </c>
      <c r="E14">
        <v>0.25347213541666652</v>
      </c>
      <c r="F14">
        <v>0.1600050281</v>
      </c>
      <c r="G14">
        <v>0.29027638964854652</v>
      </c>
      <c r="H14">
        <f>所有指标!N18</f>
        <v>28.686700820922901</v>
      </c>
      <c r="I14">
        <f>所有指标!P18</f>
        <v>5.4008002281189</v>
      </c>
      <c r="J14">
        <f>1/H14-所有指标!E18/100</f>
        <v>-6.2406410851316499E-3</v>
      </c>
    </row>
    <row r="15" spans="1:10">
      <c r="A15" s="7">
        <f>所有指标!A19</f>
        <v>45963</v>
      </c>
      <c r="B15">
        <f>所有指标!M19</f>
        <v>16.4545993804932</v>
      </c>
      <c r="C15">
        <f>所有指标!O19</f>
        <v>1.48689997196198</v>
      </c>
      <c r="D15">
        <f>1/B15-所有指标!B19/100</f>
        <v>4.2819281492680536E-2</v>
      </c>
      <c r="E15">
        <v>0.2387394879751743</v>
      </c>
      <c r="F15">
        <v>0.1475272665</v>
      </c>
      <c r="G15">
        <v>0.25669294434005879</v>
      </c>
      <c r="H15">
        <f>所有指标!N19</f>
        <v>29.139499664306602</v>
      </c>
      <c r="I15">
        <f>所有指标!P19</f>
        <v>5.5324997901916504</v>
      </c>
      <c r="J15">
        <f>1/H15-所有指标!E19/100</f>
        <v>-6.7823208524436518E-3</v>
      </c>
    </row>
    <row r="16" spans="1:10">
      <c r="A16" s="7">
        <f>所有指标!A20</f>
        <v>45956</v>
      </c>
      <c r="B16">
        <f>所有指标!M20</f>
        <v>16.911500930786101</v>
      </c>
      <c r="C16">
        <f>所有指标!O20</f>
        <v>1.521399974823</v>
      </c>
      <c r="D16">
        <f>1/B16-所有指标!B20/100</f>
        <v>4.064535706243412E-2</v>
      </c>
      <c r="E16">
        <v>0.236018979978355</v>
      </c>
      <c r="F16">
        <v>0.14090665929999999</v>
      </c>
      <c r="G16">
        <v>0.24841350843896179</v>
      </c>
      <c r="H16">
        <f>所有指标!N20</f>
        <v>29.349300384521499</v>
      </c>
      <c r="I16">
        <f>所有指标!P20</f>
        <v>5.5556998252868697</v>
      </c>
      <c r="J16">
        <f>1/H16-所有指标!E20/100</f>
        <v>-6.1276375621072965E-3</v>
      </c>
    </row>
    <row r="17" spans="1:10">
      <c r="A17" s="7">
        <f>所有指标!A21</f>
        <v>45949</v>
      </c>
      <c r="B17">
        <f>所有指标!M21</f>
        <v>16.4913005828857</v>
      </c>
      <c r="C17">
        <f>所有指标!O21</f>
        <v>1.48179996013641</v>
      </c>
      <c r="D17">
        <f>1/B17-所有指标!B21/100</f>
        <v>4.239203124404739E-2</v>
      </c>
      <c r="E17">
        <v>0.25464735660929189</v>
      </c>
      <c r="F17">
        <v>0.1213728491</v>
      </c>
      <c r="G17">
        <v>0.24113670162214401</v>
      </c>
      <c r="H17">
        <f>所有指标!N21</f>
        <v>29.342199325561499</v>
      </c>
      <c r="I17">
        <f>所有指标!P21</f>
        <v>5.4742999076843297</v>
      </c>
      <c r="J17">
        <f>1/H17-所有指标!E21/100</f>
        <v>-6.1193917639006459E-3</v>
      </c>
    </row>
    <row r="18" spans="1:10">
      <c r="A18" s="7">
        <f>所有指标!A22</f>
        <v>45942</v>
      </c>
      <c r="B18">
        <f>所有指标!M22</f>
        <v>16.689599990844702</v>
      </c>
      <c r="C18">
        <f>所有指标!O22</f>
        <v>1.4970999956130999</v>
      </c>
      <c r="D18">
        <f>1/B18-所有指标!B22/100</f>
        <v>4.171155347932623E-2</v>
      </c>
      <c r="E18">
        <v>0.24215507593924859</v>
      </c>
      <c r="F18">
        <v>0.1207421182</v>
      </c>
      <c r="G18">
        <v>0.23098635945006471</v>
      </c>
      <c r="H18">
        <f>所有指标!N22</f>
        <v>28.967300415039102</v>
      </c>
      <c r="I18">
        <f>所有指标!P22</f>
        <v>5.38320016860962</v>
      </c>
      <c r="J18">
        <f>1/H18-所有指标!E22/100</f>
        <v>-5.9783156983166871E-3</v>
      </c>
    </row>
    <row r="19" spans="1:10">
      <c r="A19" s="7">
        <f>所有指标!A23</f>
        <v>45935</v>
      </c>
      <c r="B19">
        <f>所有指标!M23</f>
        <v>16.624200820922901</v>
      </c>
      <c r="C19">
        <f>所有指标!O23</f>
        <v>1.49160003662109</v>
      </c>
      <c r="D19">
        <f>1/B19-所有指标!B23/100</f>
        <v>4.1548267562878521E-2</v>
      </c>
      <c r="E19">
        <v>0.22559961134665149</v>
      </c>
      <c r="F19">
        <v>0.13783557425000001</v>
      </c>
      <c r="G19">
        <v>0.22876556234561621</v>
      </c>
      <c r="H19">
        <f>所有指标!N23</f>
        <v>29.799200057983398</v>
      </c>
      <c r="I19">
        <f>所有指标!P23</f>
        <v>5.52120018005371</v>
      </c>
      <c r="J19">
        <f>1/H19-所有指标!E23/100</f>
        <v>-7.7420522009249843E-3</v>
      </c>
    </row>
    <row r="20" spans="1:10">
      <c r="A20" s="7">
        <f>所有指标!A24</f>
        <v>45928</v>
      </c>
      <c r="B20">
        <f>所有指标!M24</f>
        <v>16.412000656127901</v>
      </c>
      <c r="C20">
        <f>所有指标!O24</f>
        <v>1.4724999666214</v>
      </c>
      <c r="D20">
        <f>1/B20-所有指标!B24/100</f>
        <v>4.2150023642545414E-2</v>
      </c>
      <c r="E20">
        <v>0.28577688808007279</v>
      </c>
      <c r="F20">
        <v>0.1058869712</v>
      </c>
      <c r="G20">
        <v>0.23048043040702831</v>
      </c>
      <c r="H20">
        <f>所有指标!N24</f>
        <v>29.524000167846701</v>
      </c>
      <c r="I20">
        <f>所有指标!P24</f>
        <v>5.4819998741149902</v>
      </c>
      <c r="J20">
        <f>1/H20-所有指标!E24/100</f>
        <v>-8.1292509715856082E-3</v>
      </c>
    </row>
    <row r="21" spans="1:10">
      <c r="A21" s="7">
        <f>所有指标!A25</f>
        <v>45921</v>
      </c>
      <c r="B21">
        <f>所有指标!M25</f>
        <v>16.365800857543899</v>
      </c>
      <c r="C21">
        <f>所有指标!O25</f>
        <v>1.46800005435944</v>
      </c>
      <c r="D21">
        <f>1/B21-所有指标!B25/100</f>
        <v>4.2314028730735469E-2</v>
      </c>
      <c r="E21">
        <v>0.28142965116279101</v>
      </c>
      <c r="F21">
        <v>0.12114971889999999</v>
      </c>
      <c r="G21">
        <v>0.23670646895751171</v>
      </c>
      <c r="H21">
        <f>所有指标!N25</f>
        <v>29.5118007659912</v>
      </c>
      <c r="I21">
        <f>所有指标!P25</f>
        <v>5.4881000518798801</v>
      </c>
      <c r="J21">
        <f>1/H21-所有指标!E25/100</f>
        <v>-7.5152496952209102E-3</v>
      </c>
    </row>
    <row r="22" spans="1:10">
      <c r="A22" s="7">
        <f>所有指标!A26</f>
        <v>45914</v>
      </c>
      <c r="B22">
        <f>所有指标!M26</f>
        <v>16.5914001464844</v>
      </c>
      <c r="C22">
        <f>所有指标!O26</f>
        <v>1.4898999929428101</v>
      </c>
      <c r="D22">
        <f>1/B22-所有指标!B26/100</f>
        <v>4.1602188674317093E-2</v>
      </c>
      <c r="E22">
        <v>0.31657579499845617</v>
      </c>
      <c r="F22">
        <v>9.7993893799999995E-2</v>
      </c>
      <c r="G22">
        <v>0.2254953503014295</v>
      </c>
      <c r="H22">
        <f>所有指标!N26</f>
        <v>29.071599960327099</v>
      </c>
      <c r="I22">
        <f>所有指标!P26</f>
        <v>5.4045000076293901</v>
      </c>
      <c r="J22">
        <f>1/H22-所有指标!E26/100</f>
        <v>-6.20216839236018E-3</v>
      </c>
    </row>
    <row r="23" spans="1:10">
      <c r="A23" s="7">
        <f>所有指标!A27</f>
        <v>45907</v>
      </c>
      <c r="B23">
        <f>所有指标!M27</f>
        <v>16.342800140380898</v>
      </c>
      <c r="C23">
        <f>所有指标!O27</f>
        <v>1.4671000242233301</v>
      </c>
      <c r="D23">
        <f>1/B23-所有指标!B27/100</f>
        <v>4.2929024610851851E-2</v>
      </c>
      <c r="E23">
        <v>0.31864243845252083</v>
      </c>
      <c r="F23">
        <v>7.02326489E-2</v>
      </c>
      <c r="G23">
        <v>0.17306138973979029</v>
      </c>
      <c r="H23">
        <f>所有指标!N27</f>
        <v>28.529100418090799</v>
      </c>
      <c r="I23">
        <f>所有指标!P27</f>
        <v>5.3138999938964799</v>
      </c>
      <c r="J23">
        <f>1/H23-所有指标!E27/100</f>
        <v>-5.9480710802264636E-3</v>
      </c>
    </row>
    <row r="24" spans="1:10">
      <c r="A24" s="7">
        <f>所有指标!A28</f>
        <v>45900</v>
      </c>
      <c r="B24">
        <f>所有指标!M28</f>
        <v>16.533500671386701</v>
      </c>
      <c r="C24">
        <f>所有指标!O28</f>
        <v>1.4888000488281199</v>
      </c>
      <c r="D24">
        <f>1/B24-所有指标!B28/100</f>
        <v>4.2104258801363557E-2</v>
      </c>
      <c r="E24">
        <v>0.28537953367875679</v>
      </c>
      <c r="F24">
        <v>0.103235798</v>
      </c>
      <c r="G24">
        <v>0.20924986221676251</v>
      </c>
      <c r="H24">
        <f>所有指标!N28</f>
        <v>28.378200531005898</v>
      </c>
      <c r="I24">
        <f>所有指标!P28</f>
        <v>5.2726001739501998</v>
      </c>
      <c r="J24">
        <f>1/H24-所有指标!E28/100</f>
        <v>-7.0616839232845591E-3</v>
      </c>
    </row>
    <row r="25" spans="1:10">
      <c r="A25" s="7">
        <f>所有指标!A29</f>
        <v>45893</v>
      </c>
      <c r="B25">
        <f>所有指标!M29</f>
        <v>16.405799865722699</v>
      </c>
      <c r="C25">
        <f>所有指标!O29</f>
        <v>1.49460005760193</v>
      </c>
      <c r="D25">
        <f>1/B25-所有指标!B29/100</f>
        <v>4.3136053333866421E-2</v>
      </c>
      <c r="E25">
        <v>0.37857951384199873</v>
      </c>
      <c r="F25">
        <v>6.9251102500000009E-2</v>
      </c>
      <c r="G25">
        <v>0.214596776389016</v>
      </c>
      <c r="H25">
        <f>所有指标!N29</f>
        <v>28.589899063110401</v>
      </c>
      <c r="I25">
        <f>所有指标!P29</f>
        <v>5.2765998840331996</v>
      </c>
      <c r="J25">
        <f>1/H25-所有指标!E29/100</f>
        <v>-7.6226117345653058E-3</v>
      </c>
    </row>
    <row r="26" spans="1:10">
      <c r="A26" s="7">
        <f>所有指标!A30</f>
        <v>45886</v>
      </c>
      <c r="B26">
        <f>所有指标!M30</f>
        <v>15.8725996017456</v>
      </c>
      <c r="C26">
        <f>所有指标!O30</f>
        <v>1.4491000175476101</v>
      </c>
      <c r="D26">
        <f>1/B26-所有指标!B30/100</f>
        <v>4.5536652224001439E-2</v>
      </c>
      <c r="E26">
        <v>0.48601395866454672</v>
      </c>
      <c r="F26">
        <v>4.3071165000000003E-3</v>
      </c>
      <c r="G26">
        <v>9.1172998219074654E-8</v>
      </c>
      <c r="H26">
        <f>所有指标!N30</f>
        <v>28.557300567626999</v>
      </c>
      <c r="I26">
        <f>所有指标!P30</f>
        <v>5.2695999145507804</v>
      </c>
      <c r="J26">
        <f>1/H26-所有指标!E30/100</f>
        <v>-8.2826846332382104E-3</v>
      </c>
    </row>
    <row r="27" spans="1:10">
      <c r="A27" s="7">
        <f>所有指标!A31</f>
        <v>45879</v>
      </c>
      <c r="B27">
        <f>所有指标!M31</f>
        <v>15.6884002685547</v>
      </c>
      <c r="C27">
        <f>所有指标!O31</f>
        <v>1.4229999780654901</v>
      </c>
      <c r="D27">
        <f>1/B27-所有指标!B31/100</f>
        <v>4.6850361954180006E-2</v>
      </c>
      <c r="E27">
        <v>0.51147039405204442</v>
      </c>
      <c r="F27">
        <v>6.1129899999999996E-3</v>
      </c>
      <c r="G27">
        <v>8.0363030236074134E-2</v>
      </c>
      <c r="H27">
        <f>所有指标!N31</f>
        <v>28.210100173950199</v>
      </c>
      <c r="I27">
        <f>所有指标!P31</f>
        <v>5.2204999923706099</v>
      </c>
      <c r="J27">
        <f>1/H27-所有指标!E31/100</f>
        <v>-7.2517033320065524E-3</v>
      </c>
    </row>
    <row r="28" spans="1:10">
      <c r="A28" s="7">
        <f>所有指标!A32</f>
        <v>45872</v>
      </c>
      <c r="B28">
        <f>所有指标!M32</f>
        <v>15.4191999435425</v>
      </c>
      <c r="C28">
        <f>所有指标!O32</f>
        <v>1.4054000377655</v>
      </c>
      <c r="D28">
        <f>1/B28-所有指标!B32/100</f>
        <v>4.7795207978462331E-2</v>
      </c>
      <c r="E28">
        <v>0.5099367624810891</v>
      </c>
      <c r="F28">
        <v>2.15777656E-2</v>
      </c>
      <c r="G28">
        <v>0.14353302660256559</v>
      </c>
      <c r="H28">
        <f>所有指标!N32</f>
        <v>27.8719997406006</v>
      </c>
      <c r="I28">
        <f>所有指标!P32</f>
        <v>5.1096000671386701</v>
      </c>
      <c r="J28">
        <f>1/H28-所有指标!E32/100</f>
        <v>-6.4216988624135468E-3</v>
      </c>
    </row>
    <row r="29" spans="1:10">
      <c r="A29" s="7">
        <f>所有指标!A33</f>
        <v>45865</v>
      </c>
      <c r="B29">
        <f>所有指标!M33</f>
        <v>15.582599639892599</v>
      </c>
      <c r="C29">
        <f>所有指标!O33</f>
        <v>1.4179999828338601</v>
      </c>
      <c r="D29">
        <f>1/B29-所有指标!B33/100</f>
        <v>4.6850144437358611E-2</v>
      </c>
      <c r="E29">
        <v>0.4894973825503357</v>
      </c>
      <c r="F29">
        <v>2.5902332199999999E-2</v>
      </c>
      <c r="G29">
        <v>0.14881970799803951</v>
      </c>
      <c r="H29">
        <f>所有指标!N33</f>
        <v>28.505500793456999</v>
      </c>
      <c r="I29">
        <f>所有指标!P33</f>
        <v>5.2930998802185103</v>
      </c>
      <c r="J29">
        <f>1/H29-所有指标!E33/100</f>
        <v>-8.9190516859982832E-3</v>
      </c>
    </row>
    <row r="30" spans="1:10">
      <c r="A30" s="7">
        <f>所有指标!A34</f>
        <v>45858</v>
      </c>
      <c r="B30">
        <f>所有指标!M34</f>
        <v>15.3881998062134</v>
      </c>
      <c r="C30">
        <f>所有指标!O34</f>
        <v>1.3990000486373899</v>
      </c>
      <c r="D30">
        <f>1/B30-所有指标!B34/100</f>
        <v>4.833285934632997E-2</v>
      </c>
      <c r="E30">
        <v>0.49651190138067719</v>
      </c>
      <c r="F30">
        <v>-1.8727755000000001E-3</v>
      </c>
      <c r="G30">
        <v>6.6129441771572338E-8</v>
      </c>
      <c r="H30">
        <f>所有指标!N34</f>
        <v>28.160600662231399</v>
      </c>
      <c r="I30">
        <f>所有指标!P34</f>
        <v>5.2613000869751003</v>
      </c>
      <c r="J30">
        <f>1/H30-所有指标!E34/100</f>
        <v>-8.8893938167595304E-3</v>
      </c>
    </row>
    <row r="31" spans="1:10">
      <c r="A31" s="7">
        <f>所有指标!A35</f>
        <v>45851</v>
      </c>
      <c r="B31">
        <f>所有指标!M35</f>
        <v>15.297599792480501</v>
      </c>
      <c r="C31">
        <f>所有指标!O35</f>
        <v>1.3858000040054299</v>
      </c>
      <c r="D31">
        <f>1/B31-所有指标!B35/100</f>
        <v>4.8716732086438008E-2</v>
      </c>
      <c r="E31">
        <v>0.44219858823529412</v>
      </c>
      <c r="F31">
        <v>1.9163823E-3</v>
      </c>
      <c r="G31">
        <v>7.7017597935154472E-8</v>
      </c>
      <c r="H31">
        <f>所有指标!N35</f>
        <v>28.023799896240199</v>
      </c>
      <c r="I31">
        <f>所有指标!P35</f>
        <v>5.2372999191284197</v>
      </c>
      <c r="J31">
        <f>1/H31-所有指标!E35/100</f>
        <v>-8.6160455147924267E-3</v>
      </c>
    </row>
    <row r="32" spans="1:10">
      <c r="A32" s="7">
        <f>所有指标!A36</f>
        <v>45844</v>
      </c>
      <c r="B32">
        <f>所有指标!M36</f>
        <v>15.1538000106812</v>
      </c>
      <c r="C32">
        <f>所有指标!O36</f>
        <v>1.3674999475479099</v>
      </c>
      <c r="D32">
        <f>1/B32-所有指标!B36/100</f>
        <v>4.9557048654142663E-2</v>
      </c>
      <c r="E32">
        <v>0.49871248246844352</v>
      </c>
      <c r="F32">
        <v>2.8093926599999999E-2</v>
      </c>
      <c r="G32">
        <v>0.171928553521383</v>
      </c>
      <c r="H32">
        <f>所有指标!N36</f>
        <v>28.1163005828857</v>
      </c>
      <c r="I32">
        <f>所有指标!P36</f>
        <v>5.2512001991271999</v>
      </c>
      <c r="J32">
        <f>1/H32-所有指标!E36/100</f>
        <v>-7.933443260003531E-3</v>
      </c>
    </row>
    <row r="33" spans="1:10">
      <c r="A33" s="7">
        <f>所有指标!A37</f>
        <v>45837</v>
      </c>
      <c r="B33">
        <f>所有指标!M37</f>
        <v>14.9348001480103</v>
      </c>
      <c r="C33">
        <f>所有指标!O37</f>
        <v>1.3470000028610201</v>
      </c>
      <c r="D33">
        <f>1/B33-所有指标!B37/100</f>
        <v>5.0495708847093326E-2</v>
      </c>
      <c r="E33">
        <v>0.48485770750988172</v>
      </c>
      <c r="F33">
        <v>3.9750049599999997E-2</v>
      </c>
      <c r="G33">
        <v>0.18785974844203329</v>
      </c>
      <c r="H33">
        <f>所有指标!N37</f>
        <v>27.643499374389599</v>
      </c>
      <c r="I33">
        <f>所有指标!P37</f>
        <v>5.1640000343322798</v>
      </c>
      <c r="J33">
        <f>1/H33-所有指标!E37/100</f>
        <v>-6.7251298630283812E-3</v>
      </c>
    </row>
    <row r="34" spans="1:10">
      <c r="A34" s="7">
        <f>所有指标!A38</f>
        <v>45830</v>
      </c>
      <c r="B34">
        <f>所有指标!M38</f>
        <v>14.669599533081101</v>
      </c>
      <c r="C34">
        <f>所有指标!O38</f>
        <v>1.32159996032715</v>
      </c>
      <c r="D34">
        <f>1/B34-所有指标!B38/100</f>
        <v>5.1772186714635342E-2</v>
      </c>
      <c r="E34">
        <v>0.49699592936802972</v>
      </c>
      <c r="F34">
        <v>3.7047348899999999E-2</v>
      </c>
      <c r="G34">
        <v>0.19105445183455461</v>
      </c>
      <c r="H34">
        <f>所有指标!N38</f>
        <v>26.694299697876001</v>
      </c>
      <c r="I34">
        <f>所有指标!P38</f>
        <v>4.9881000518798801</v>
      </c>
      <c r="J34">
        <f>1/H34-所有指标!E38/100</f>
        <v>-6.3388187246744832E-3</v>
      </c>
    </row>
    <row r="35" spans="1:10">
      <c r="A35" s="7">
        <f>所有指标!A39</f>
        <v>45823</v>
      </c>
      <c r="B35">
        <f>所有指标!M39</f>
        <v>14.6183996200562</v>
      </c>
      <c r="C35">
        <f>所有指标!O39</f>
        <v>1.32529997825623</v>
      </c>
      <c r="D35">
        <f>1/B35-所有指标!B39/100</f>
        <v>5.1966940977863044E-2</v>
      </c>
      <c r="E35">
        <v>0.51487404815285098</v>
      </c>
      <c r="F35">
        <v>5.6084079350000003E-2</v>
      </c>
      <c r="G35">
        <v>0.2325246899753361</v>
      </c>
      <c r="H35">
        <f>所有指标!N39</f>
        <v>26.792600631713899</v>
      </c>
      <c r="I35">
        <f>所有指标!P39</f>
        <v>5.0074000358581499</v>
      </c>
      <c r="J35">
        <f>1/H35-所有指标!E39/100</f>
        <v>-6.7762622357637539E-3</v>
      </c>
    </row>
    <row r="36" spans="1:10">
      <c r="A36" s="7">
        <f>所有指标!A40</f>
        <v>45816</v>
      </c>
      <c r="B36">
        <f>所有指标!M40</f>
        <v>14.6423997879028</v>
      </c>
      <c r="C36">
        <f>所有指标!O40</f>
        <v>1.32589995861053</v>
      </c>
      <c r="D36">
        <f>1/B36-所有指标!B40/100</f>
        <v>5.1747816046900728E-2</v>
      </c>
      <c r="E36">
        <v>0.50732694080637575</v>
      </c>
      <c r="F36">
        <v>7.4934798550000001E-2</v>
      </c>
      <c r="G36">
        <v>0.26081269290622838</v>
      </c>
      <c r="H36">
        <f>所有指标!N40</f>
        <v>26.8649005889893</v>
      </c>
      <c r="I36">
        <f>所有指标!P40</f>
        <v>5.0233998298645002</v>
      </c>
      <c r="J36">
        <f>1/H36-所有指标!E40/100</f>
        <v>-7.876709458219458E-3</v>
      </c>
    </row>
    <row r="37" spans="1:10">
      <c r="A37" s="7">
        <f>所有指标!A41</f>
        <v>45809</v>
      </c>
      <c r="B37">
        <f>所有指标!M41</f>
        <v>14.489500045776399</v>
      </c>
      <c r="C37">
        <f>所有指标!O41</f>
        <v>1.3095999956130999</v>
      </c>
      <c r="D37">
        <f>1/B37-所有指标!B41/100</f>
        <v>5.2303493760358824E-2</v>
      </c>
      <c r="E37">
        <v>0.54465406111121328</v>
      </c>
      <c r="F37">
        <v>7.4911654199999997E-2</v>
      </c>
      <c r="G37">
        <v>0.27573895053656389</v>
      </c>
      <c r="H37">
        <f>所有指标!N41</f>
        <v>26.495500564575199</v>
      </c>
      <c r="I37">
        <f>所有指标!P41</f>
        <v>4.9510002136230504</v>
      </c>
      <c r="J37">
        <f>1/H37-所有指标!E41/100</f>
        <v>-6.3577426849216814E-3</v>
      </c>
    </row>
    <row r="38" spans="1:10">
      <c r="A38" s="7">
        <f>所有指标!A42</f>
        <v>45802</v>
      </c>
      <c r="B38">
        <f>所有指标!M42</f>
        <v>14.483300209045399</v>
      </c>
      <c r="C38">
        <f>所有指标!O42</f>
        <v>1.30840003490448</v>
      </c>
      <c r="D38">
        <f>1/B38-所有指标!B42/100</f>
        <v>5.1837037081773674E-2</v>
      </c>
      <c r="E38">
        <v>0.52941643288555207</v>
      </c>
      <c r="F38">
        <v>8.4676641149999995E-2</v>
      </c>
      <c r="G38">
        <v>0.29287934526304071</v>
      </c>
      <c r="H38">
        <f>所有指标!N42</f>
        <v>26.055200576782202</v>
      </c>
      <c r="I38">
        <f>所有指标!P42</f>
        <v>4.86189985275269</v>
      </c>
      <c r="J38">
        <f>1/H38-所有指标!E42/100</f>
        <v>-6.7199461964188301E-3</v>
      </c>
    </row>
    <row r="39" spans="1:10">
      <c r="A39" s="7">
        <f>所有指标!A43</f>
        <v>45795</v>
      </c>
      <c r="B39">
        <f>所有指标!M43</f>
        <v>14.540599822998001</v>
      </c>
      <c r="C39">
        <f>所有指标!O43</f>
        <v>1.31330001354218</v>
      </c>
      <c r="D39">
        <f>1/B39-所有指标!B43/100</f>
        <v>5.1979953810224494E-2</v>
      </c>
      <c r="E39">
        <v>0.48433833532294518</v>
      </c>
      <c r="F39">
        <v>8.5713416749999993E-2</v>
      </c>
      <c r="G39">
        <v>0.28631711467479581</v>
      </c>
      <c r="H39">
        <f>所有指标!N43</f>
        <v>26.674800872802699</v>
      </c>
      <c r="I39">
        <f>所有指标!P43</f>
        <v>4.9815001487731898</v>
      </c>
      <c r="J39">
        <f>1/H39-所有指标!E43/100</f>
        <v>-6.8114352392565428E-3</v>
      </c>
    </row>
    <row r="40" spans="1:10">
      <c r="A40" s="7">
        <f>所有指标!A44</f>
        <v>45788</v>
      </c>
      <c r="B40">
        <f>所有指标!M44</f>
        <v>14.459699630737299</v>
      </c>
      <c r="C40">
        <f>所有指标!O44</f>
        <v>1.3043999671936</v>
      </c>
      <c r="D40">
        <f>1/B40-所有指标!B44/100</f>
        <v>5.2806729796425242E-2</v>
      </c>
      <c r="E40">
        <v>0.4982932100893086</v>
      </c>
      <c r="F40">
        <v>0.1180567282</v>
      </c>
      <c r="G40">
        <v>0.34184309712168159</v>
      </c>
      <c r="H40">
        <f>所有指标!N44</f>
        <v>25.292100906372099</v>
      </c>
      <c r="I40">
        <f>所有指标!P44</f>
        <v>4.7246999740600604</v>
      </c>
      <c r="J40">
        <f>1/H40-所有指标!E44/100</f>
        <v>-4.1619638478486501E-3</v>
      </c>
    </row>
    <row r="41" spans="1:10">
      <c r="A41" s="7">
        <f>所有指标!A45</f>
        <v>45781</v>
      </c>
      <c r="B41">
        <f>所有指标!M45</f>
        <v>14.2125997543335</v>
      </c>
      <c r="C41">
        <f>所有指标!O45</f>
        <v>1.2799999713897701</v>
      </c>
      <c r="D41">
        <f>1/B41-所有指标!B45/100</f>
        <v>5.4117104223373659E-2</v>
      </c>
      <c r="E41">
        <v>0.51412948336644904</v>
      </c>
      <c r="F41">
        <v>0.11926526965000001</v>
      </c>
      <c r="G41">
        <v>0.34620851696210719</v>
      </c>
      <c r="H41">
        <f>所有指标!N45</f>
        <v>25.448200225830099</v>
      </c>
      <c r="I41">
        <f>所有指标!P45</f>
        <v>4.7662000656127903</v>
      </c>
      <c r="J41">
        <f>1/H41-所有指标!E45/100</f>
        <v>-4.0044902536960914E-3</v>
      </c>
    </row>
    <row r="42" spans="1:10">
      <c r="A42" s="7">
        <f>所有指标!A46</f>
        <v>45774</v>
      </c>
      <c r="B42">
        <f>所有指标!M46</f>
        <v>14.1745004653931</v>
      </c>
      <c r="C42">
        <f>所有指标!O46</f>
        <v>1.307000041008</v>
      </c>
      <c r="D42">
        <f>1/B42-所有指标!B46/100</f>
        <v>5.3942223405896383E-2</v>
      </c>
      <c r="E42">
        <v>0.46091392384105978</v>
      </c>
      <c r="F42">
        <v>0.13801286400000001</v>
      </c>
      <c r="G42">
        <v>0.35416258528103611</v>
      </c>
      <c r="H42">
        <f>所有指标!N46</f>
        <v>24.732000350952099</v>
      </c>
      <c r="I42">
        <f>所有指标!P46</f>
        <v>4.6680002212524396</v>
      </c>
      <c r="J42">
        <f>1/H42-所有指标!E46/100</f>
        <v>-2.4665540267751404E-3</v>
      </c>
    </row>
    <row r="43" spans="1:10">
      <c r="A43" s="7">
        <f>所有指标!A47</f>
        <v>45767</v>
      </c>
      <c r="B43">
        <f>所有指标!M47</f>
        <v>14.0558004379272</v>
      </c>
      <c r="C43">
        <f>所有指标!O47</f>
        <v>1.30729997158051</v>
      </c>
      <c r="D43">
        <f>1/B43-所有指标!B47/100</f>
        <v>5.4652005538188282E-2</v>
      </c>
      <c r="E43">
        <v>0.467897774514485</v>
      </c>
      <c r="F43">
        <v>0.1391343759</v>
      </c>
      <c r="G43">
        <v>0.35513698711270092</v>
      </c>
      <c r="H43">
        <f>所有指标!N47</f>
        <v>24.092399597168001</v>
      </c>
      <c r="I43">
        <f>所有指标!P47</f>
        <v>4.4897999763488796</v>
      </c>
      <c r="J43">
        <f>1/H43-所有指标!E47/100</f>
        <v>-1.8931340704830685E-3</v>
      </c>
    </row>
    <row r="44" spans="1:10">
      <c r="A44" s="7">
        <f>所有指标!A48</f>
        <v>45760</v>
      </c>
      <c r="B44">
        <f>所有指标!M48</f>
        <v>13.83899974823</v>
      </c>
      <c r="C44">
        <f>所有指标!O48</f>
        <v>1.2877999544143699</v>
      </c>
      <c r="D44">
        <f>1/B44-所有指标!B48/100</f>
        <v>5.5691557640927009E-2</v>
      </c>
      <c r="E44">
        <v>0.44641019859183551</v>
      </c>
      <c r="F44">
        <v>0.15169269660000001</v>
      </c>
      <c r="G44">
        <v>0.35987697016751868</v>
      </c>
      <c r="H44">
        <f>所有指标!N48</f>
        <v>24.713499069213899</v>
      </c>
      <c r="I44">
        <f>所有指标!P48</f>
        <v>4.5715999603271502</v>
      </c>
      <c r="J44">
        <f>1/H44-所有指标!E48/100</f>
        <v>-4.3362843116893993E-3</v>
      </c>
    </row>
    <row r="45" spans="1:10">
      <c r="A45" s="7">
        <f>所有指标!A49</f>
        <v>45753</v>
      </c>
      <c r="B45">
        <f>所有指标!M49</f>
        <v>14.244199752807599</v>
      </c>
      <c r="C45">
        <f>所有指标!O49</f>
        <v>1.32679998874664</v>
      </c>
      <c r="D45">
        <f>1/B45-所有指标!B49/100</f>
        <v>5.3024014079688486E-2</v>
      </c>
      <c r="E45">
        <v>0.45965976331360953</v>
      </c>
      <c r="F45">
        <v>0.1558661636</v>
      </c>
      <c r="G45">
        <v>0.37038695014742801</v>
      </c>
      <c r="H45">
        <f>所有指标!N49</f>
        <v>23.415399551391602</v>
      </c>
      <c r="I45">
        <f>所有指标!P49</f>
        <v>4.3239002227783203</v>
      </c>
      <c r="J45">
        <f>1/H45-所有指标!E49/100</f>
        <v>2.6069372788289219E-3</v>
      </c>
    </row>
    <row r="46" spans="1:10">
      <c r="A46" s="7">
        <f>所有指标!A50</f>
        <v>45746</v>
      </c>
      <c r="B46">
        <f>所有指标!M50</f>
        <v>14.277299880981399</v>
      </c>
      <c r="C46">
        <f>所有指标!O50</f>
        <v>1.3372999429702801</v>
      </c>
      <c r="D46">
        <f>1/B46-所有指标!B50/100</f>
        <v>5.191525488266073E-2</v>
      </c>
      <c r="E46">
        <v>0.4593336037863418</v>
      </c>
      <c r="F46">
        <v>0.13655250620000001</v>
      </c>
      <c r="G46">
        <v>0.34420803288230339</v>
      </c>
      <c r="H46">
        <f>所有指标!N50</f>
        <v>25.704200744628899</v>
      </c>
      <c r="I46">
        <f>所有指标!P50</f>
        <v>4.7473001480102504</v>
      </c>
      <c r="J46">
        <f>1/H46-所有指标!E50/100</f>
        <v>-3.7958531667646525E-3</v>
      </c>
    </row>
    <row r="47" spans="1:10">
      <c r="A47" s="7">
        <f>所有指标!A51</f>
        <v>45739</v>
      </c>
      <c r="B47">
        <f>所有指标!M51</f>
        <v>14.393699645996101</v>
      </c>
      <c r="C47">
        <f>所有指标!O51</f>
        <v>1.3474999666214</v>
      </c>
      <c r="D47">
        <f>1/B47-所有指标!B51/100</f>
        <v>5.1016841395496962E-2</v>
      </c>
      <c r="E47">
        <v>0.49965131562979059</v>
      </c>
      <c r="F47">
        <v>0.122378002</v>
      </c>
      <c r="G47">
        <v>0.34313905525613092</v>
      </c>
      <c r="H47">
        <f>所有指标!N51</f>
        <v>26.077299118041999</v>
      </c>
      <c r="I47">
        <f>所有指标!P51</f>
        <v>4.8215999603271502</v>
      </c>
      <c r="J47">
        <f>1/H47-所有指标!E51/100</f>
        <v>-4.1524703929889037E-3</v>
      </c>
    </row>
    <row r="48" spans="1:10">
      <c r="A48" s="7">
        <f>所有指标!A52</f>
        <v>45732</v>
      </c>
      <c r="B48">
        <f>所有指标!M52</f>
        <v>14.6722002029419</v>
      </c>
      <c r="C48">
        <f>所有指标!O52</f>
        <v>1.3730000257492101</v>
      </c>
      <c r="D48">
        <f>1/B48-所有指标!B52/100</f>
        <v>4.9839103799584991E-2</v>
      </c>
      <c r="E48">
        <v>0.51940620519159442</v>
      </c>
      <c r="F48">
        <v>0.1113001651</v>
      </c>
      <c r="G48">
        <v>0.33368297592329033</v>
      </c>
      <c r="H48">
        <f>所有指标!N52</f>
        <v>25.951900482177699</v>
      </c>
      <c r="I48">
        <f>所有指标!P52</f>
        <v>4.7979998588562003</v>
      </c>
      <c r="J48">
        <f>1/H48-所有指标!E52/100</f>
        <v>-4.5671765296440014E-3</v>
      </c>
    </row>
    <row r="49" spans="1:10">
      <c r="A49" s="7">
        <f>所有指标!A53</f>
        <v>45725</v>
      </c>
      <c r="B49">
        <f>所有指标!M53</f>
        <v>14.4781999588013</v>
      </c>
      <c r="C49">
        <f>所有指标!O53</f>
        <v>1.3543000221252399</v>
      </c>
      <c r="D49">
        <f>1/B49-所有指标!B53/100</f>
        <v>5.1067359647301996E-2</v>
      </c>
      <c r="E49">
        <v>0.4814919476744185</v>
      </c>
      <c r="F49">
        <v>0.13435365930000001</v>
      </c>
      <c r="G49">
        <v>0.35107417098277699</v>
      </c>
      <c r="H49">
        <f>所有指标!N53</f>
        <v>26.5207004547119</v>
      </c>
      <c r="I49">
        <f>所有指标!P53</f>
        <v>4.91050004959106</v>
      </c>
      <c r="J49">
        <f>1/H49-所有指标!E53/100</f>
        <v>-5.4936052647760608E-3</v>
      </c>
    </row>
    <row r="50" spans="1:10">
      <c r="A50" s="7">
        <f>所有指标!A54</f>
        <v>45718</v>
      </c>
      <c r="B50">
        <f>所有指标!M54</f>
        <v>14.334099769592299</v>
      </c>
      <c r="C50">
        <f>所有指标!O54</f>
        <v>1.33510005474091</v>
      </c>
      <c r="D50">
        <f>1/B50-所有指标!B54/100</f>
        <v>5.2611711434557895E-2</v>
      </c>
      <c r="E50">
        <v>0.42948836903706561</v>
      </c>
      <c r="F50">
        <v>0.14338467930000001</v>
      </c>
      <c r="G50">
        <v>0.34058717851696441</v>
      </c>
      <c r="H50">
        <f>所有指标!N54</f>
        <v>27.378900527954102</v>
      </c>
      <c r="I50">
        <f>所有指标!P54</f>
        <v>5.0605001449584996</v>
      </c>
      <c r="J50">
        <f>1/H50-所有指标!E54/100</f>
        <v>-5.875523826130595E-3</v>
      </c>
    </row>
    <row r="51" spans="1:10">
      <c r="A51" s="7">
        <f>所有指标!A55</f>
        <v>45711</v>
      </c>
      <c r="B51">
        <f>所有指标!M55</f>
        <v>14.568699836731</v>
      </c>
      <c r="C51">
        <f>所有指标!O55</f>
        <v>1.36070001125336</v>
      </c>
      <c r="D51">
        <f>1/B51-所有指标!B55/100</f>
        <v>5.1440304983068764E-2</v>
      </c>
      <c r="E51">
        <v>0.4423212367980679</v>
      </c>
      <c r="F51">
        <v>0.13736828814999999</v>
      </c>
      <c r="G51">
        <v>0.32704138573534991</v>
      </c>
      <c r="H51">
        <f>所有指标!N55</f>
        <v>27.562299728393601</v>
      </c>
      <c r="I51">
        <f>所有指标!P55</f>
        <v>5.13789987564087</v>
      </c>
      <c r="J51">
        <f>1/H51-所有指标!E55/100</f>
        <v>-7.9185572374485397E-3</v>
      </c>
    </row>
    <row r="52" spans="1:10">
      <c r="A52" s="7">
        <f>所有指标!A56</f>
        <v>45704</v>
      </c>
      <c r="B52">
        <f>所有指标!M56</f>
        <v>14.448300361633301</v>
      </c>
      <c r="C52">
        <f>所有指标!O56</f>
        <v>1.3493000268936199</v>
      </c>
      <c r="D52">
        <f>1/B52-所有指标!B56/100</f>
        <v>5.2666293139714007E-2</v>
      </c>
      <c r="E52">
        <v>0.41121444811002622</v>
      </c>
      <c r="F52">
        <v>0.15277768994999999</v>
      </c>
      <c r="G52">
        <v>0.35187477519892851</v>
      </c>
      <c r="H52">
        <f>所有指标!N56</f>
        <v>28.278200149536101</v>
      </c>
      <c r="I52">
        <f>所有指标!P56</f>
        <v>5.2603998184204102</v>
      </c>
      <c r="J52">
        <f>1/H52-所有指标!E56/100</f>
        <v>-9.3370704389966336E-3</v>
      </c>
    </row>
    <row r="53" spans="1:10">
      <c r="A53" s="7">
        <f>所有指标!A57</f>
        <v>45697</v>
      </c>
      <c r="B53">
        <f>所有指标!M57</f>
        <v>14.2378997802734</v>
      </c>
      <c r="C53">
        <f>所有指标!O57</f>
        <v>1.32990002632141</v>
      </c>
      <c r="D53">
        <f>1/B53-所有指标!B57/100</f>
        <v>5.4178077885960352E-2</v>
      </c>
      <c r="E53">
        <v>0.41635330068560222</v>
      </c>
      <c r="F53">
        <v>0.1499792841</v>
      </c>
      <c r="G53">
        <v>0.33968250783629311</v>
      </c>
      <c r="H53">
        <f>所有指标!N57</f>
        <v>27.916999816894499</v>
      </c>
      <c r="I53">
        <f>所有指标!P57</f>
        <v>5.1813998222351101</v>
      </c>
      <c r="J53">
        <f>1/H53-所有指标!E57/100</f>
        <v>-9.0795319497465818E-3</v>
      </c>
    </row>
    <row r="54" spans="1:10">
      <c r="A54" s="7">
        <f>所有指标!A58</f>
        <v>45690</v>
      </c>
      <c r="B54">
        <f>所有指标!M58</f>
        <v>14.0721998214722</v>
      </c>
      <c r="C54">
        <f>所有指标!O58</f>
        <v>1.3142000436782799</v>
      </c>
      <c r="D54">
        <f>1/B54-所有指标!B58/100</f>
        <v>5.476309495932119E-2</v>
      </c>
      <c r="E54">
        <v>0.46214055384615399</v>
      </c>
      <c r="F54">
        <v>0.1326935729</v>
      </c>
      <c r="G54">
        <v>0.33713514352687629</v>
      </c>
      <c r="H54">
        <f>所有指标!N58</f>
        <v>28.484399795532202</v>
      </c>
      <c r="I54">
        <f>所有指标!P58</f>
        <v>5.2151999473571804</v>
      </c>
      <c r="J54">
        <f>1/H54-所有指标!E58/100</f>
        <v>-1.0693064021771989E-2</v>
      </c>
    </row>
    <row r="55" spans="1:10">
      <c r="A55" s="7">
        <f>所有指标!A59</f>
        <v>45683</v>
      </c>
      <c r="B55">
        <f>所有指标!M59</f>
        <v>14.058799743652299</v>
      </c>
      <c r="C55">
        <f>所有指标!O59</f>
        <v>1.3128000497818</v>
      </c>
      <c r="D55">
        <f>1/B55-所有指标!B59/100</f>
        <v>5.4592827455683821E-2</v>
      </c>
      <c r="E55">
        <v>0.48680598724188928</v>
      </c>
      <c r="F55">
        <v>0.1461936049</v>
      </c>
      <c r="G55">
        <v>0.3772065896819925</v>
      </c>
      <c r="H55">
        <f>所有指标!N59</f>
        <v>28.779499053955099</v>
      </c>
      <c r="I55">
        <f>所有指标!P59</f>
        <v>5.2828998565673801</v>
      </c>
      <c r="J55">
        <f>1/H55-所有指标!E59/100</f>
        <v>-1.1553043559749787E-2</v>
      </c>
    </row>
    <row r="56" spans="1:10">
      <c r="A56" s="7">
        <f>所有指标!A60</f>
        <v>45676</v>
      </c>
      <c r="B56">
        <f>所有指标!M60</f>
        <v>14.0548000335693</v>
      </c>
      <c r="C56">
        <f>所有指标!O60</f>
        <v>1.30889999866486</v>
      </c>
      <c r="D56">
        <f>1/B56-所有指标!B60/100</f>
        <v>5.4557069557129384E-2</v>
      </c>
      <c r="E56">
        <v>0.53681818181818208</v>
      </c>
      <c r="F56">
        <v>0.14606130710000001</v>
      </c>
      <c r="G56">
        <v>0.40561963524688588</v>
      </c>
      <c r="H56">
        <f>所有指标!N60</f>
        <v>28.5447998046875</v>
      </c>
      <c r="I56">
        <f>所有指标!P60</f>
        <v>5.1905999183654803</v>
      </c>
      <c r="J56">
        <f>1/H56-所有指标!E60/100</f>
        <v>-1.1067349330094643E-2</v>
      </c>
    </row>
    <row r="57" spans="1:10">
      <c r="A57" s="7">
        <f>所有指标!A61</f>
        <v>45669</v>
      </c>
      <c r="B57">
        <f>所有指标!M61</f>
        <v>13.7779998779297</v>
      </c>
      <c r="C57">
        <f>所有指标!O61</f>
        <v>1.2840000391006501</v>
      </c>
      <c r="D57">
        <f>1/B57-所有指标!B61/100</f>
        <v>5.6241475167643946E-2</v>
      </c>
      <c r="E57">
        <v>0.64610999999999952</v>
      </c>
      <c r="F57">
        <v>0.1140555038</v>
      </c>
      <c r="G57">
        <v>0.38772472489040921</v>
      </c>
      <c r="H57">
        <f>所有指标!N61</f>
        <v>28.210399627685501</v>
      </c>
      <c r="I57">
        <f>所有指标!P61</f>
        <v>5.04489994049072</v>
      </c>
      <c r="J57">
        <f>1/H57-所有指标!E61/100</f>
        <v>-1.2252079616107005E-2</v>
      </c>
    </row>
    <row r="58" spans="1:10">
      <c r="A58" s="7">
        <f>所有指标!A62</f>
        <v>45662</v>
      </c>
      <c r="B58">
        <f>所有指标!M62</f>
        <v>13.9658002853394</v>
      </c>
      <c r="C58">
        <f>所有指标!O62</f>
        <v>1.2977000474929801</v>
      </c>
      <c r="D58">
        <f>1/B58-所有指标!B62/100</f>
        <v>5.5562487059008722E-2</v>
      </c>
      <c r="E58">
        <v>0.64610999999999952</v>
      </c>
      <c r="F58">
        <v>0.1140555038</v>
      </c>
      <c r="G58">
        <v>0.38772472489040921</v>
      </c>
      <c r="H58">
        <f>所有指标!N62</f>
        <v>28.719800949096701</v>
      </c>
      <c r="I58">
        <f>所有指标!P62</f>
        <v>5.1399002075195304</v>
      </c>
      <c r="J58">
        <f>1/H58-所有指标!E62/100</f>
        <v>-1.1180817173057314E-2</v>
      </c>
    </row>
    <row r="59" spans="1:10">
      <c r="A59" s="7">
        <f>所有指标!A63</f>
        <v>45655</v>
      </c>
      <c r="B59">
        <f>所有指标!M63</f>
        <v>14.711000442504901</v>
      </c>
      <c r="C59">
        <f>所有指标!O63</f>
        <v>1.3673000335693399</v>
      </c>
      <c r="D59">
        <f>1/B59-所有指标!B63/100</f>
        <v>5.1047342187487965E-2</v>
      </c>
      <c r="E59">
        <v>0.61300318731482484</v>
      </c>
      <c r="F59">
        <v>9.4629047049999998E-2</v>
      </c>
      <c r="G59">
        <v>0.37082893292882763</v>
      </c>
      <c r="H59">
        <f>所有指标!N63</f>
        <v>28.861000061035199</v>
      </c>
      <c r="I59">
        <f>所有指标!P63</f>
        <v>5.16520023345947</v>
      </c>
      <c r="J59">
        <f>1/H59-所有指标!E63/100</f>
        <v>-1.1551166006541644E-2</v>
      </c>
    </row>
    <row r="60" spans="1:10">
      <c r="A60" s="7">
        <f>所有指标!A64</f>
        <v>45648</v>
      </c>
      <c r="B60">
        <f>所有指标!M64</f>
        <v>14.510800361633301</v>
      </c>
      <c r="C60">
        <f>所有指标!O64</f>
        <v>1.34870004653931</v>
      </c>
      <c r="D60">
        <f>1/B60-所有指标!B64/100</f>
        <v>5.1896186335580081E-2</v>
      </c>
      <c r="E60">
        <v>0.43497692537313409</v>
      </c>
      <c r="F60">
        <v>0.15799591639999999</v>
      </c>
      <c r="G60">
        <v>0.37751134015100107</v>
      </c>
      <c r="H60">
        <f>所有指标!N64</f>
        <v>28.716100692748999</v>
      </c>
      <c r="I60">
        <f>所有指标!P64</f>
        <v>5.1229000091552699</v>
      </c>
      <c r="J60">
        <f>1/H60-所有指标!E64/100</f>
        <v>-1.037633049488134E-2</v>
      </c>
    </row>
    <row r="61" spans="1:10">
      <c r="A61" s="7">
        <f>所有指标!A65</f>
        <v>45641</v>
      </c>
      <c r="B61">
        <f>所有指标!M65</f>
        <v>14.562100410461399</v>
      </c>
      <c r="C61">
        <f>所有指标!O65</f>
        <v>1.35239994525909</v>
      </c>
      <c r="D61">
        <f>1/B61-所有指标!B65/100</f>
        <v>5.0900412214792926E-2</v>
      </c>
      <c r="E61">
        <v>0.39799109880431299</v>
      </c>
      <c r="F61">
        <v>0.1681523513</v>
      </c>
      <c r="G61">
        <v>0.37537139808306719</v>
      </c>
      <c r="H61">
        <f>所有指标!N65</f>
        <v>29.298000335693398</v>
      </c>
      <c r="I61">
        <f>所有指标!P65</f>
        <v>5.2225999832153303</v>
      </c>
      <c r="J61">
        <f>1/H61-所有指标!E65/100</f>
        <v>-9.8679777274180702E-3</v>
      </c>
    </row>
    <row r="62" spans="1:10">
      <c r="A62" s="7">
        <f>所有指标!A66</f>
        <v>45634</v>
      </c>
      <c r="B62">
        <f>所有指标!M66</f>
        <v>14.6152000427246</v>
      </c>
      <c r="C62">
        <f>所有指标!O66</f>
        <v>1.35720002651215</v>
      </c>
      <c r="D62">
        <f>1/B62-所有指标!B66/100</f>
        <v>4.8882916708406374E-2</v>
      </c>
      <c r="E62">
        <v>0.36436020173343042</v>
      </c>
      <c r="F62">
        <v>0.2044094055</v>
      </c>
      <c r="G62">
        <v>0.38939217767787782</v>
      </c>
      <c r="H62">
        <f>所有指标!N66</f>
        <v>29.433599472045898</v>
      </c>
      <c r="I62">
        <f>所有指标!P66</f>
        <v>5.2472000122070304</v>
      </c>
      <c r="J62">
        <f>1/H62-所有指标!E66/100</f>
        <v>-7.5252222651281814E-3</v>
      </c>
    </row>
    <row r="63" spans="1:10">
      <c r="A63" s="7">
        <f>所有指标!A67</f>
        <v>45627</v>
      </c>
      <c r="B63">
        <f>所有指标!M67</f>
        <v>14.2806997299194</v>
      </c>
      <c r="C63">
        <f>所有指标!O67</f>
        <v>1.3260999917984</v>
      </c>
      <c r="D63">
        <f>1/B63-所有指标!B67/100</f>
        <v>4.9818579951422581E-2</v>
      </c>
      <c r="E63">
        <v>0.35049332524271831</v>
      </c>
      <c r="F63">
        <v>0.21470378139999999</v>
      </c>
      <c r="G63">
        <v>0.38403027323931832</v>
      </c>
      <c r="H63">
        <f>所有指标!N67</f>
        <v>29.135799407958999</v>
      </c>
      <c r="I63">
        <f>所有指标!P67</f>
        <v>5.19220018386841</v>
      </c>
      <c r="J63">
        <f>1/H63-所有指标!E67/100</f>
        <v>-7.4779624956221036E-3</v>
      </c>
    </row>
    <row r="64" spans="1:10">
      <c r="A64" s="7">
        <f>所有指标!A68</f>
        <v>45620</v>
      </c>
      <c r="B64">
        <f>所有指标!M68</f>
        <v>14.029299736022899</v>
      </c>
      <c r="C64">
        <f>所有指标!O68</f>
        <v>1.30260002613068</v>
      </c>
      <c r="D64">
        <f>1/B64-所有指标!B68/100</f>
        <v>5.044739518123699E-2</v>
      </c>
      <c r="E64">
        <v>0.33749641344163078</v>
      </c>
      <c r="F64">
        <v>0.23462739125000001</v>
      </c>
      <c r="G64">
        <v>0.40259293659123768</v>
      </c>
      <c r="H64">
        <f>所有指标!N68</f>
        <v>28.7837009429932</v>
      </c>
      <c r="I64">
        <f>所有指标!P68</f>
        <v>5.1283001899719203</v>
      </c>
      <c r="J64">
        <f>1/H64-所有指标!E68/100</f>
        <v>-9.3581159740186437E-3</v>
      </c>
    </row>
    <row r="65" spans="1:10">
      <c r="A65" s="7">
        <f>所有指标!A69</f>
        <v>45613</v>
      </c>
      <c r="B65">
        <f>所有指标!M69</f>
        <v>14.288700103759799</v>
      </c>
      <c r="C65">
        <f>所有指标!O69</f>
        <v>1.32679998874664</v>
      </c>
      <c r="D65">
        <f>1/B65-所有指标!B69/100</f>
        <v>4.9037372548820519E-2</v>
      </c>
      <c r="E65">
        <v>0.36341235745509842</v>
      </c>
      <c r="F65">
        <v>0.2136284544</v>
      </c>
      <c r="G65">
        <v>0.39244190493223502</v>
      </c>
      <c r="H65">
        <f>所有指标!N69</f>
        <v>28.558900833129901</v>
      </c>
      <c r="I65">
        <f>所有指标!P69</f>
        <v>5.0598998069763201</v>
      </c>
      <c r="J65">
        <f>1/H65-所有指标!E69/100</f>
        <v>-9.28464678864864E-3</v>
      </c>
    </row>
    <row r="66" spans="1:10">
      <c r="A66" s="7">
        <f>所有指标!A70</f>
        <v>45606</v>
      </c>
      <c r="B66">
        <f>所有指标!M70</f>
        <v>14.7638998031616</v>
      </c>
      <c r="C66">
        <f>所有指标!O70</f>
        <v>1.37119996547699</v>
      </c>
      <c r="D66">
        <f>1/B66-所有指标!B70/100</f>
        <v>4.6665781536884721E-2</v>
      </c>
      <c r="E66">
        <v>0.34627426134767769</v>
      </c>
      <c r="F66">
        <v>0.22749867900000001</v>
      </c>
      <c r="G66">
        <v>0.39671174997702102</v>
      </c>
      <c r="H66">
        <f>所有指标!N70</f>
        <v>29.122499465942401</v>
      </c>
      <c r="I66">
        <f>所有指标!P70</f>
        <v>5.17320013046265</v>
      </c>
      <c r="J66">
        <f>1/H66-所有指标!E70/100</f>
        <v>-8.662287978768439E-3</v>
      </c>
    </row>
    <row r="67" spans="1:10">
      <c r="A67" s="7">
        <f>所有指标!A71</f>
        <v>45599</v>
      </c>
      <c r="B67">
        <f>所有指标!M71</f>
        <v>14.067899703979499</v>
      </c>
      <c r="C67">
        <f>所有指标!O71</f>
        <v>1.3063999414444001</v>
      </c>
      <c r="D67">
        <f>1/B67-所有指标!B71/100</f>
        <v>4.967781642194407E-2</v>
      </c>
      <c r="E67">
        <v>0.35644014336917568</v>
      </c>
      <c r="F67">
        <v>0.23413336160000001</v>
      </c>
      <c r="G67">
        <v>0.41467044404595488</v>
      </c>
      <c r="H67">
        <f>所有指标!N71</f>
        <v>27.714300155639599</v>
      </c>
      <c r="I67">
        <f>所有指标!P71</f>
        <v>4.9619002342224103</v>
      </c>
      <c r="J67">
        <f>1/H67-所有指标!E71/100</f>
        <v>-7.6175445750337883E-3</v>
      </c>
    </row>
    <row r="68" spans="1:10">
      <c r="A68" s="7">
        <f>所有指标!A72</f>
        <v>45592</v>
      </c>
      <c r="B68">
        <f>所有指标!M72</f>
        <v>14.4196996688843</v>
      </c>
      <c r="C68">
        <f>所有指标!O72</f>
        <v>1.3499000072479199</v>
      </c>
      <c r="D68">
        <f>1/B68-所有指标!B72/100</f>
        <v>4.7810571971867097E-2</v>
      </c>
      <c r="E68">
        <v>0.32321290944123332</v>
      </c>
      <c r="F68">
        <v>0.24413779155000001</v>
      </c>
      <c r="G68">
        <v>0.40370788382394462</v>
      </c>
      <c r="H68">
        <f>所有指标!N72</f>
        <v>28.683599472045898</v>
      </c>
      <c r="I68">
        <f>所有指标!P72</f>
        <v>5.08970022201538</v>
      </c>
      <c r="J68">
        <f>1/H68-所有指标!E72/100</f>
        <v>-7.6368719963278223E-3</v>
      </c>
    </row>
    <row r="69" spans="1:10">
      <c r="A69" s="7">
        <f>所有指标!A73</f>
        <v>45585</v>
      </c>
      <c r="B69">
        <f>所有指标!M73</f>
        <v>14.413499832153301</v>
      </c>
      <c r="C69">
        <f>所有指标!O73</f>
        <v>1.3468999862670901</v>
      </c>
      <c r="D69">
        <f>1/B69-所有指标!B73/100</f>
        <v>4.8170402063697486E-2</v>
      </c>
      <c r="E69">
        <v>0.31482690375499589</v>
      </c>
      <c r="F69">
        <v>0.24491595620000001</v>
      </c>
      <c r="G69">
        <v>0.39406554578156833</v>
      </c>
      <c r="H69">
        <f>所有指标!N73</f>
        <v>28.9894008636475</v>
      </c>
      <c r="I69">
        <f>所有指标!P73</f>
        <v>5.1480998992919904</v>
      </c>
      <c r="J69">
        <f>1/H69-所有指标!E73/100</f>
        <v>-6.3046337555050097E-3</v>
      </c>
    </row>
    <row r="70" spans="1:10">
      <c r="A70" s="7">
        <f>所有指标!A74</f>
        <v>45578</v>
      </c>
      <c r="B70">
        <f>所有指标!M74</f>
        <v>14.2544002532959</v>
      </c>
      <c r="C70">
        <f>所有指标!O74</f>
        <v>1.3288999795913701</v>
      </c>
      <c r="D70">
        <f>1/B70-所有指标!B74/100</f>
        <v>4.8712775832748911E-2</v>
      </c>
      <c r="E70">
        <v>0.31974993640699528</v>
      </c>
      <c r="F70">
        <v>0.2640441805</v>
      </c>
      <c r="G70">
        <v>0.41839480478894231</v>
      </c>
      <c r="H70">
        <f>所有指标!N74</f>
        <v>28.433799743652301</v>
      </c>
      <c r="I70">
        <f>所有指标!P74</f>
        <v>5.1283998489379901</v>
      </c>
      <c r="J70">
        <f>1/H70-所有指标!E74/100</f>
        <v>-5.6305886298842339E-3</v>
      </c>
    </row>
    <row r="71" spans="1:10">
      <c r="A71" s="7">
        <f>所有指标!A75</f>
        <v>45571</v>
      </c>
      <c r="B71">
        <f>所有指标!M75</f>
        <v>14.6778001785278</v>
      </c>
      <c r="C71">
        <f>所有指标!O75</f>
        <v>1.3683999776840201</v>
      </c>
      <c r="D71">
        <f>1/B71-所有指标!B75/100</f>
        <v>4.6612100412656059E-2</v>
      </c>
      <c r="E71">
        <v>0.34443927107061539</v>
      </c>
      <c r="F71">
        <v>0.26091090075000001</v>
      </c>
      <c r="G71">
        <v>0.43678329461932081</v>
      </c>
      <c r="H71">
        <f>所有指标!N75</f>
        <v>28.138200759887699</v>
      </c>
      <c r="I71">
        <f>所有指标!P75</f>
        <v>5.0833001136779803</v>
      </c>
      <c r="J71">
        <f>1/H71-所有指标!E75/100</f>
        <v>-4.2611249833164194E-3</v>
      </c>
    </row>
    <row r="72" spans="1:10">
      <c r="A72" s="7">
        <f>所有指标!A76</f>
        <v>45564</v>
      </c>
      <c r="B72">
        <f>所有指标!M76</f>
        <v>13.6204996109009</v>
      </c>
      <c r="C72">
        <f>所有指标!O76</f>
        <v>1.2697999477386499</v>
      </c>
      <c r="D72">
        <f>1/B72-所有指标!B76/100</f>
        <v>5.0884745902659081E-2</v>
      </c>
      <c r="E72">
        <v>0.35690403418246719</v>
      </c>
      <c r="F72">
        <v>0.25190307119999999</v>
      </c>
      <c r="G72">
        <v>0.43252938797591878</v>
      </c>
      <c r="H72">
        <f>所有指标!N76</f>
        <v>28.060100555419901</v>
      </c>
      <c r="I72">
        <f>所有指标!P76</f>
        <v>5.0750999450683603</v>
      </c>
      <c r="J72">
        <f>1/H72-所有指标!E76/100</f>
        <v>-1.8622089655396176E-3</v>
      </c>
    </row>
    <row r="73" spans="1:10">
      <c r="A73" s="7">
        <f>所有指标!A77</f>
        <v>45557</v>
      </c>
      <c r="B73">
        <f>所有指标!M77</f>
        <v>12.1803998947144</v>
      </c>
      <c r="C73">
        <f>所有指标!O77</f>
        <v>1.1354999542236299</v>
      </c>
      <c r="D73">
        <f>1/B73-所有指标!B77/100</f>
        <v>6.1668110755299842E-2</v>
      </c>
      <c r="E73">
        <v>0.37278555133079833</v>
      </c>
      <c r="F73">
        <v>0.25993994435000001</v>
      </c>
      <c r="G73">
        <v>0.44703111211246921</v>
      </c>
      <c r="H73">
        <f>所有指标!N77</f>
        <v>27.923900604248001</v>
      </c>
      <c r="I73">
        <f>所有指标!P77</f>
        <v>5.0286002159118697</v>
      </c>
      <c r="J73">
        <f>1/H73-所有指标!E77/100</f>
        <v>-1.4883842027473698E-3</v>
      </c>
    </row>
    <row r="74" spans="1:10">
      <c r="A74" s="7">
        <f>所有指标!A78</f>
        <v>45550</v>
      </c>
      <c r="B74">
        <f>所有指标!M78</f>
        <v>12.0131998062134</v>
      </c>
      <c r="C74">
        <f>所有指标!O78</f>
        <v>1.1190999746322601</v>
      </c>
      <c r="D74">
        <f>1/B74-所有指标!B78/100</f>
        <v>6.2816768731989756E-2</v>
      </c>
      <c r="E74">
        <v>0.38870645357686451</v>
      </c>
      <c r="F74">
        <v>0.22322212964999999</v>
      </c>
      <c r="G74">
        <v>0.42623498821376721</v>
      </c>
      <c r="H74">
        <f>所有指标!N78</f>
        <v>27.511299133300799</v>
      </c>
      <c r="I74">
        <f>所有指标!P78</f>
        <v>4.9548997879028303</v>
      </c>
      <c r="J74">
        <f>1/H74-所有指标!E78/100</f>
        <v>-2.512985026737885E-4</v>
      </c>
    </row>
    <row r="75" spans="1:10">
      <c r="A75" s="7">
        <f>所有指标!A79</f>
        <v>45543</v>
      </c>
      <c r="B75">
        <f>所有指标!M79</f>
        <v>12.2742004394531</v>
      </c>
      <c r="C75">
        <f>所有指标!O79</f>
        <v>1.14260005950928</v>
      </c>
      <c r="D75">
        <f>1/B75-所有指标!B79/100</f>
        <v>6.0083701959965465E-2</v>
      </c>
      <c r="E75">
        <v>0.38677522043386992</v>
      </c>
      <c r="F75">
        <v>0.25994392005</v>
      </c>
      <c r="G75">
        <v>0.4643008694477776</v>
      </c>
      <c r="H75">
        <f>所有指标!N79</f>
        <v>26.257200241088899</v>
      </c>
      <c r="I75">
        <f>所有指标!P79</f>
        <v>4.7262997627258301</v>
      </c>
      <c r="J75">
        <f>1/H75-所有指标!E79/100</f>
        <v>8.8479163117847343E-4</v>
      </c>
    </row>
    <row r="76" spans="1:10">
      <c r="A76" s="7">
        <f>所有指标!A80</f>
        <v>45536</v>
      </c>
      <c r="B76">
        <f>所有指标!M80</f>
        <v>12.6433000564575</v>
      </c>
      <c r="C76">
        <f>所有指标!O80</f>
        <v>1.1900000572204601</v>
      </c>
      <c r="D76">
        <f>1/B76-所有指标!B80/100</f>
        <v>5.7389274345668567E-2</v>
      </c>
      <c r="E76">
        <v>0.38629353645266579</v>
      </c>
      <c r="F76">
        <v>0.27193842530000001</v>
      </c>
      <c r="G76">
        <v>0.48017590487038309</v>
      </c>
      <c r="H76">
        <f>所有指标!N80</f>
        <v>27.374099731445298</v>
      </c>
      <c r="I76">
        <f>所有指标!P80</f>
        <v>4.9391999244689897</v>
      </c>
      <c r="J76">
        <f>1/H76-所有指标!E80/100</f>
        <v>-2.5691182610372565E-3</v>
      </c>
    </row>
    <row r="77" spans="1:10">
      <c r="A77" s="7">
        <f>所有指标!A81</f>
        <v>45529</v>
      </c>
      <c r="B77">
        <f>所有指标!M81</f>
        <v>12.7323999404907</v>
      </c>
      <c r="C77">
        <f>所有指标!O81</f>
        <v>1.20179998874664</v>
      </c>
      <c r="D77">
        <f>1/B77-所有指标!B81/100</f>
        <v>5.6992788623813892E-2</v>
      </c>
      <c r="E77">
        <v>0.38629353645266579</v>
      </c>
      <c r="F77">
        <v>0.27193842530000001</v>
      </c>
      <c r="G77">
        <v>0.48017590487038309</v>
      </c>
      <c r="H77">
        <f>所有指标!N81</f>
        <v>27.4841003417969</v>
      </c>
      <c r="I77">
        <f>所有指标!P81</f>
        <v>4.9348001480102504</v>
      </c>
      <c r="J77">
        <f>1/H77-所有指标!E81/100</f>
        <v>-1.7153271322753322E-3</v>
      </c>
    </row>
    <row r="78" spans="1:10">
      <c r="A78" s="7">
        <f>所有指标!A82</f>
        <v>45522</v>
      </c>
      <c r="B78">
        <f>所有指标!M82</f>
        <v>12.8428001403809</v>
      </c>
      <c r="C78">
        <f>所有指标!O82</f>
        <v>1.21070003509521</v>
      </c>
      <c r="D78">
        <f>1/B78-所有指标!B82/100</f>
        <v>5.5886639258517765E-2</v>
      </c>
      <c r="E78">
        <v>0.38779832903348121</v>
      </c>
      <c r="F78">
        <v>0.26356022229999998</v>
      </c>
      <c r="G78">
        <v>0.46466697053011402</v>
      </c>
      <c r="H78">
        <f>所有指标!N82</f>
        <v>27.0918998718262</v>
      </c>
      <c r="I78">
        <f>所有指标!P82</f>
        <v>4.8646998405456499</v>
      </c>
      <c r="J78">
        <f>1/H78-所有指标!E82/100</f>
        <v>-1.988598262540664E-3</v>
      </c>
    </row>
    <row r="79" spans="1:10">
      <c r="A79" s="7">
        <f>所有指标!A83</f>
        <v>45515</v>
      </c>
      <c r="B79">
        <f>所有指标!M83</f>
        <v>12.7199001312256</v>
      </c>
      <c r="C79">
        <f>所有指标!O83</f>
        <v>1.1979999542236299</v>
      </c>
      <c r="D79">
        <f>1/B79-所有指标!B83/100</f>
        <v>5.6630969448143546E-2</v>
      </c>
      <c r="E79">
        <v>0.38654075034309598</v>
      </c>
      <c r="F79">
        <v>0.26341988729999999</v>
      </c>
      <c r="G79">
        <v>0.45828335845536239</v>
      </c>
      <c r="H79">
        <f>所有指标!N83</f>
        <v>26.026300430297901</v>
      </c>
      <c r="I79">
        <f>所有指标!P83</f>
        <v>4.6912999153137198</v>
      </c>
      <c r="J79">
        <f>1/H79-所有指标!E83/100</f>
        <v>-9.7732818468990873E-4</v>
      </c>
    </row>
    <row r="80" spans="1:10">
      <c r="A80" s="7">
        <f>所有指标!A84</f>
        <v>45508</v>
      </c>
      <c r="B80">
        <f>所有指标!M84</f>
        <v>12.9373998641968</v>
      </c>
      <c r="C80">
        <f>所有指标!O84</f>
        <v>1.2171000242233301</v>
      </c>
      <c r="D80">
        <f>1/B80-所有指标!B84/100</f>
        <v>5.6018284253168862E-2</v>
      </c>
      <c r="E80">
        <v>0.37863052667051522</v>
      </c>
      <c r="F80">
        <v>0.27028810650000001</v>
      </c>
      <c r="G80">
        <v>0.46446657173627037</v>
      </c>
      <c r="H80">
        <f>所有指标!N84</f>
        <v>25.973699569702099</v>
      </c>
      <c r="I80">
        <f>所有指标!P84</f>
        <v>4.7024998664856001</v>
      </c>
      <c r="J80">
        <f>1/H80-所有指标!E84/100</f>
        <v>5.0048381888900817E-4</v>
      </c>
    </row>
    <row r="81" spans="1:10">
      <c r="A81" s="7">
        <f>所有指标!A85</f>
        <v>45501</v>
      </c>
      <c r="B81">
        <f>所有指标!M85</f>
        <v>12.8740997314453</v>
      </c>
      <c r="C81">
        <f>所有指标!O85</f>
        <v>1.2115999460220299</v>
      </c>
      <c r="D81">
        <f>1/B81-所有指标!B85/100</f>
        <v>5.5731334264925401E-2</v>
      </c>
      <c r="E81">
        <v>0.40728253224997762</v>
      </c>
      <c r="F81">
        <v>0.2713589723</v>
      </c>
      <c r="G81">
        <v>0.49618096527760852</v>
      </c>
      <c r="H81">
        <f>所有指标!N85</f>
        <v>26.765600204467798</v>
      </c>
      <c r="I81">
        <f>所有指标!P85</f>
        <v>4.8575000762939498</v>
      </c>
      <c r="J81">
        <f>1/H81-所有指标!E85/100</f>
        <v>-4.6386110395134419E-3</v>
      </c>
    </row>
    <row r="82" spans="1:10">
      <c r="A82" s="7">
        <f>所有指标!A86</f>
        <v>45494</v>
      </c>
      <c r="B82">
        <f>所有指标!M86</f>
        <v>13.3128004074097</v>
      </c>
      <c r="C82">
        <f>所有指标!O86</f>
        <v>1.2503000497818</v>
      </c>
      <c r="D82">
        <f>1/B82-所有指标!B86/100</f>
        <v>5.2501675845588076E-2</v>
      </c>
      <c r="E82">
        <v>0.44927176456180229</v>
      </c>
      <c r="F82">
        <v>0.2480611526</v>
      </c>
      <c r="G82">
        <v>0.485344887023063</v>
      </c>
      <c r="H82">
        <f>所有指标!N86</f>
        <v>27.374700546264599</v>
      </c>
      <c r="I82">
        <f>所有指标!P86</f>
        <v>4.9321999549865696</v>
      </c>
      <c r="J82">
        <f>1/H82-所有指标!E86/100</f>
        <v>-5.9699200340127753E-3</v>
      </c>
    </row>
    <row r="83" spans="1:10">
      <c r="A83" s="7">
        <f>所有指标!A87</f>
        <v>45487</v>
      </c>
      <c r="B83">
        <f>所有指标!M87</f>
        <v>13.244000434875501</v>
      </c>
      <c r="C83">
        <f>所有指标!O87</f>
        <v>1.2355999946594201</v>
      </c>
      <c r="D83">
        <f>1/B83-所有指标!B87/100</f>
        <v>5.2901886980092086E-2</v>
      </c>
      <c r="E83">
        <v>0.41384930760499428</v>
      </c>
      <c r="F83">
        <v>0.27524772419999999</v>
      </c>
      <c r="G83">
        <v>0.50329135477272435</v>
      </c>
      <c r="H83">
        <f>所有指标!N87</f>
        <v>27.986400604248001</v>
      </c>
      <c r="I83">
        <f>所有指标!P87</f>
        <v>5.0384998321533203</v>
      </c>
      <c r="J83">
        <f>1/H83-所有指标!E87/100</f>
        <v>-6.0683596886620672E-3</v>
      </c>
    </row>
    <row r="84" spans="1:10">
      <c r="A84" s="7">
        <f>所有指标!A88</f>
        <v>45480</v>
      </c>
      <c r="B84">
        <f>所有指标!M88</f>
        <v>13.166600227356</v>
      </c>
      <c r="C84">
        <f>所有指标!O88</f>
        <v>1.21860003471375</v>
      </c>
      <c r="D84">
        <f>1/B84-所有指标!B88/100</f>
        <v>5.3195750332839811E-2</v>
      </c>
      <c r="E84">
        <v>0.4044794708050925</v>
      </c>
      <c r="F84">
        <v>0.28169667524999997</v>
      </c>
      <c r="G84">
        <v>0.50139952882989514</v>
      </c>
      <c r="H84">
        <f>所有指标!N88</f>
        <v>27.878599166870099</v>
      </c>
      <c r="I84">
        <f>所有指标!P88</f>
        <v>5.00820016860962</v>
      </c>
      <c r="J84">
        <f>1/H84-所有指标!E88/100</f>
        <v>-6.9301919793601716E-3</v>
      </c>
    </row>
    <row r="85" spans="1:10">
      <c r="A85" s="7">
        <f>所有指标!A89</f>
        <v>45473</v>
      </c>
      <c r="B85">
        <f>所有指标!M89</f>
        <v>13.1967000961304</v>
      </c>
      <c r="C85">
        <f>所有指标!O89</f>
        <v>1.2208000421523999</v>
      </c>
      <c r="D85">
        <f>1/B85-所有指标!B89/100</f>
        <v>5.3718519335559108E-2</v>
      </c>
      <c r="E85">
        <v>0.37763353293413182</v>
      </c>
      <c r="F85">
        <v>0.2979691833</v>
      </c>
      <c r="G85">
        <v>0.50172058423035559</v>
      </c>
      <c r="H85">
        <f>所有指标!N89</f>
        <v>27.299699783325199</v>
      </c>
      <c r="I85">
        <f>所有指标!P89</f>
        <v>4.9025998115539604</v>
      </c>
      <c r="J85">
        <f>1/H85-所有指标!E89/100</f>
        <v>-6.9695605469329985E-3</v>
      </c>
    </row>
    <row r="86" spans="1:10">
      <c r="A86" s="7">
        <f>所有指标!A90</f>
        <v>45466</v>
      </c>
      <c r="B86">
        <f>所有指标!M90</f>
        <v>13.254199981689499</v>
      </c>
      <c r="C86">
        <f>所有指标!O90</f>
        <v>1.2224999666214</v>
      </c>
      <c r="D86">
        <f>1/B86-所有指标!B90/100</f>
        <v>5.2876782693899796E-2</v>
      </c>
      <c r="E86">
        <v>0.37652392061655038</v>
      </c>
      <c r="F86">
        <v>0.29470788180000002</v>
      </c>
      <c r="G86">
        <v>0.49389561130972121</v>
      </c>
      <c r="H86">
        <f>所有指标!N90</f>
        <v>27.339899063110401</v>
      </c>
      <c r="I86">
        <f>所有指标!P90</f>
        <v>4.9029002189636204</v>
      </c>
      <c r="J86">
        <f>1/H86-所有指标!E90/100</f>
        <v>-5.9234201928969332E-3</v>
      </c>
    </row>
    <row r="87" spans="1:10">
      <c r="A87" s="7">
        <f>所有指标!A91</f>
        <v>45459</v>
      </c>
      <c r="B87">
        <f>所有指标!M91</f>
        <v>13.380800247192401</v>
      </c>
      <c r="C87">
        <f>所有指标!O91</f>
        <v>1.22790002822876</v>
      </c>
      <c r="D87">
        <f>1/B87-所有指标!B91/100</f>
        <v>5.2175945767542795E-2</v>
      </c>
      <c r="E87">
        <v>0.38472885035050147</v>
      </c>
      <c r="F87">
        <v>0.27872048654999998</v>
      </c>
      <c r="G87">
        <v>0.47585076804380821</v>
      </c>
      <c r="H87">
        <f>所有指标!N91</f>
        <v>27.158199310302699</v>
      </c>
      <c r="I87">
        <f>所有指标!P91</f>
        <v>4.87139987945557</v>
      </c>
      <c r="J87">
        <f>1/H87-所有指标!E91/100</f>
        <v>-5.178707521281016E-3</v>
      </c>
    </row>
    <row r="88" spans="1:10">
      <c r="A88" s="7">
        <f>所有指标!A92</f>
        <v>45452</v>
      </c>
      <c r="B88">
        <f>所有指标!M92</f>
        <v>13.4596004486084</v>
      </c>
      <c r="C88">
        <f>所有指标!O92</f>
        <v>1.23280000686646</v>
      </c>
      <c r="D88">
        <f>1/B88-所有指标!B92/100</f>
        <v>5.1463410492882861E-2</v>
      </c>
      <c r="E88">
        <v>0.37491116371441768</v>
      </c>
      <c r="F88">
        <v>0.28229595665000001</v>
      </c>
      <c r="G88">
        <v>0.47949420041650748</v>
      </c>
      <c r="H88">
        <f>所有指标!N92</f>
        <v>26.714899063110401</v>
      </c>
      <c r="I88">
        <f>所有指标!P92</f>
        <v>4.7962999343872097</v>
      </c>
      <c r="J88">
        <f>1/H88-所有指标!E92/100</f>
        <v>-6.8677043496352813E-3</v>
      </c>
    </row>
    <row r="89" spans="1:10">
      <c r="A89" s="7">
        <f>所有指标!A93</f>
        <v>45445</v>
      </c>
      <c r="B89">
        <f>所有指标!M93</f>
        <v>13.5578002929688</v>
      </c>
      <c r="C89">
        <f>所有指标!O93</f>
        <v>1.23679995536804</v>
      </c>
      <c r="D89">
        <f>1/B89-所有指标!B93/100</f>
        <v>5.0832277773025555E-2</v>
      </c>
      <c r="E89">
        <v>0.37924636174636189</v>
      </c>
      <c r="F89">
        <v>0.28051134919999998</v>
      </c>
      <c r="G89">
        <v>0.47169297920449049</v>
      </c>
      <c r="H89">
        <f>所有指标!N93</f>
        <v>26.374799728393601</v>
      </c>
      <c r="I89">
        <f>所有指标!P93</f>
        <v>4.7335000038146999</v>
      </c>
      <c r="J89">
        <f>1/H89-所有指标!E93/100</f>
        <v>-7.1850201594722551E-3</v>
      </c>
    </row>
    <row r="90" spans="1:10">
      <c r="A90" s="7">
        <f>所有指标!A94</f>
        <v>45438</v>
      </c>
      <c r="B90">
        <f>所有指标!M94</f>
        <v>13.540800094604499</v>
      </c>
      <c r="C90">
        <f>所有指标!O94</f>
        <v>1.2346999645233201</v>
      </c>
      <c r="D90">
        <f>1/B90-所有指标!B94/100</f>
        <v>5.0716879786524754E-2</v>
      </c>
      <c r="E90">
        <v>0.37598764342453661</v>
      </c>
      <c r="F90">
        <v>0.27411864740000003</v>
      </c>
      <c r="G90">
        <v>0.46930039674094493</v>
      </c>
      <c r="H90">
        <f>所有指标!N94</f>
        <v>26.5452995300293</v>
      </c>
      <c r="I90">
        <f>所有指标!P94</f>
        <v>4.7621998786926296</v>
      </c>
      <c r="J90">
        <f>1/H90-所有指标!E94/100</f>
        <v>-6.9285471362358284E-3</v>
      </c>
    </row>
    <row r="91" spans="1:10">
      <c r="A91" s="7">
        <f>所有指标!A95</f>
        <v>45431</v>
      </c>
      <c r="B91">
        <f>所有指标!M95</f>
        <v>13.7932996749878</v>
      </c>
      <c r="C91">
        <f>所有指标!O95</f>
        <v>1.2573000192642201</v>
      </c>
      <c r="D91">
        <f>1/B91-所有指标!B95/100</f>
        <v>4.9421968598018548E-2</v>
      </c>
      <c r="E91">
        <v>0.39466743216144817</v>
      </c>
      <c r="F91">
        <v>0.26750941405000001</v>
      </c>
      <c r="G91">
        <v>0.48296962980534519</v>
      </c>
      <c r="H91">
        <f>所有指标!N95</f>
        <v>26.6473999023438</v>
      </c>
      <c r="I91">
        <f>所有指标!P95</f>
        <v>4.7639999389648402</v>
      </c>
      <c r="J91">
        <f>1/H91-所有指标!E95/100</f>
        <v>-6.6728865230845993E-3</v>
      </c>
    </row>
    <row r="92" spans="1:10">
      <c r="A92" s="7">
        <f>所有指标!A96</f>
        <v>45424</v>
      </c>
      <c r="B92">
        <f>所有指标!M96</f>
        <v>13.8145999908447</v>
      </c>
      <c r="C92">
        <f>所有指标!O96</f>
        <v>1.2581000328064</v>
      </c>
      <c r="D92">
        <f>1/B92-所有指标!B96/100</f>
        <v>4.9026184620816128E-2</v>
      </c>
      <c r="E92">
        <v>0.38343221053599891</v>
      </c>
      <c r="F92">
        <v>0.2843609399</v>
      </c>
      <c r="G92">
        <v>0.48993880236134768</v>
      </c>
      <c r="H92">
        <f>所有指标!N96</f>
        <v>26.2353000640869</v>
      </c>
      <c r="I92">
        <f>所有指标!P96</f>
        <v>4.6869997978210396</v>
      </c>
      <c r="J92">
        <f>1/H92-所有指标!E96/100</f>
        <v>-6.8834167111782099E-3</v>
      </c>
    </row>
    <row r="93" spans="1:10">
      <c r="A93" s="7">
        <f>所有指标!A97</f>
        <v>45417</v>
      </c>
      <c r="B93">
        <f>所有指标!M97</f>
        <v>13.6107997894287</v>
      </c>
      <c r="C93">
        <f>所有指标!O97</f>
        <v>1.24080002307892</v>
      </c>
      <c r="D93">
        <f>1/B93-所有指标!B97/100</f>
        <v>5.0443068230441875E-2</v>
      </c>
      <c r="E93">
        <v>0.38974096692111942</v>
      </c>
      <c r="F93">
        <v>0.26589662850000001</v>
      </c>
      <c r="G93">
        <v>0.48095742285950249</v>
      </c>
      <c r="H93">
        <f>所有指标!N97</f>
        <v>25.503400802612301</v>
      </c>
      <c r="I93">
        <f>所有指标!P97</f>
        <v>4.6043000221252397</v>
      </c>
      <c r="J93">
        <f>1/H93-所有指标!E97/100</f>
        <v>-5.7895430205696097E-3</v>
      </c>
    </row>
    <row r="94" spans="1:10">
      <c r="A94" s="7">
        <f>所有指标!A98</f>
        <v>45410</v>
      </c>
      <c r="B94">
        <f>所有指标!M98</f>
        <v>13.323499679565399</v>
      </c>
      <c r="C94">
        <f>所有指标!O98</f>
        <v>1.25390005111694</v>
      </c>
      <c r="D94">
        <f>1/B94-所有指标!B98/100</f>
        <v>5.1811355128181982E-2</v>
      </c>
      <c r="E94">
        <v>0.3747896032272463</v>
      </c>
      <c r="F94">
        <v>0.26499046105000001</v>
      </c>
      <c r="G94">
        <v>0.47086598127249019</v>
      </c>
      <c r="H94">
        <f>所有指标!N98</f>
        <v>25.450799942016602</v>
      </c>
      <c r="I94">
        <f>所有指标!P98</f>
        <v>4.5996999740600604</v>
      </c>
      <c r="J94">
        <f>1/H94-所有指标!E98/100</f>
        <v>-7.4085041618238145E-3</v>
      </c>
    </row>
    <row r="95" spans="1:10">
      <c r="A95" s="7">
        <f>所有指标!A99</f>
        <v>45403</v>
      </c>
      <c r="B95">
        <f>所有指标!M99</f>
        <v>13.2897996902466</v>
      </c>
      <c r="C95">
        <f>所有指标!O99</f>
        <v>1.2612999677658101</v>
      </c>
      <c r="D95">
        <f>1/B95-所有指标!B99/100</f>
        <v>5.2705678889645058E-2</v>
      </c>
      <c r="E95">
        <v>0.37429894556365212</v>
      </c>
      <c r="F95">
        <v>0.25943493680000002</v>
      </c>
      <c r="G95">
        <v>0.45932240239573652</v>
      </c>
      <c r="H95">
        <f>所有指标!N99</f>
        <v>24.820400238037099</v>
      </c>
      <c r="I95">
        <f>所有指标!P99</f>
        <v>4.4853000640869096</v>
      </c>
      <c r="J95">
        <f>1/H95-所有指标!E99/100</f>
        <v>-5.9105610542288245E-3</v>
      </c>
    </row>
    <row r="96" spans="1:10">
      <c r="A96" s="7">
        <f>所有指标!A100</f>
        <v>45396</v>
      </c>
      <c r="B96">
        <f>所有指标!M100</f>
        <v>12.9991998672485</v>
      </c>
      <c r="C96">
        <f>所有指标!O100</f>
        <v>1.23740005493164</v>
      </c>
      <c r="D96">
        <f>1/B96-所有指标!B100/100</f>
        <v>5.4090811727820362E-2</v>
      </c>
      <c r="E96">
        <v>0.36695077238226659</v>
      </c>
      <c r="F96">
        <v>0.26605606030000001</v>
      </c>
      <c r="G96">
        <v>0.4628975563395048</v>
      </c>
      <c r="H96">
        <f>所有指标!N100</f>
        <v>25.5942993164062</v>
      </c>
      <c r="I96">
        <f>所有指标!P100</f>
        <v>4.6317000389099103</v>
      </c>
      <c r="J96">
        <f>1/H96-所有指标!E100/100</f>
        <v>-5.9287995097021401E-3</v>
      </c>
    </row>
    <row r="97" spans="1:10">
      <c r="A97" s="7">
        <f>所有指标!A101</f>
        <v>45389</v>
      </c>
      <c r="B97">
        <f>所有指标!M101</f>
        <v>13.2056999206543</v>
      </c>
      <c r="C97">
        <f>所有指标!O101</f>
        <v>1.2574000358581501</v>
      </c>
      <c r="D97">
        <f>1/B97-所有指标!B101/100</f>
        <v>5.2787876834127945E-2</v>
      </c>
      <c r="E97">
        <v>0.37600090999451891</v>
      </c>
      <c r="F97">
        <v>0.25016907690000001</v>
      </c>
      <c r="G97">
        <v>0.43898206477749813</v>
      </c>
      <c r="H97">
        <f>所有指标!N101</f>
        <v>25.9461994171143</v>
      </c>
      <c r="I97">
        <f>所有指标!P101</f>
        <v>4.6978001594543501</v>
      </c>
      <c r="J97">
        <f>1/H97-所有指标!E101/100</f>
        <v>-5.3587098509544004E-3</v>
      </c>
    </row>
    <row r="98" spans="1:10">
      <c r="A98" s="7">
        <f>所有指标!A102</f>
        <v>45382</v>
      </c>
      <c r="B98">
        <f>所有指标!M102</f>
        <v>13.0832004547119</v>
      </c>
      <c r="C98">
        <f>所有指标!O102</f>
        <v>1.2472000122070299</v>
      </c>
      <c r="D98">
        <f>1/B98-所有指标!B102/100</f>
        <v>5.3532897306820766E-2</v>
      </c>
      <c r="E98">
        <v>0.37468221662468498</v>
      </c>
      <c r="F98">
        <v>0.27112928860000002</v>
      </c>
      <c r="G98">
        <v>0.47085456841013701</v>
      </c>
      <c r="H98">
        <f>所有指标!N102</f>
        <v>26.193700790405298</v>
      </c>
      <c r="I98">
        <f>所有指标!P102</f>
        <v>4.7446999549865696</v>
      </c>
      <c r="J98">
        <f>1/H98-所有指标!E102/100</f>
        <v>-3.8228822264665258E-3</v>
      </c>
    </row>
    <row r="99" spans="1:10">
      <c r="A99" s="7">
        <f>所有指标!A103</f>
        <v>45375</v>
      </c>
      <c r="B99">
        <f>所有指标!M103</f>
        <v>13.070899963378899</v>
      </c>
      <c r="C99">
        <f>所有指标!O103</f>
        <v>1.25820004940033</v>
      </c>
      <c r="D99">
        <f>1/B99-所有指标!B103/100</f>
        <v>5.3454826132992184E-2</v>
      </c>
      <c r="E99">
        <v>0.38205340059589182</v>
      </c>
      <c r="F99">
        <v>0.29346618660000001</v>
      </c>
      <c r="G99">
        <v>0.49610885144410438</v>
      </c>
      <c r="H99">
        <f>所有指标!N103</f>
        <v>26.016700744628899</v>
      </c>
      <c r="I99">
        <f>所有指标!P103</f>
        <v>4.7255001068115199</v>
      </c>
      <c r="J99">
        <f>1/H99-所有指标!E103/100</f>
        <v>-3.7631509231066396E-3</v>
      </c>
    </row>
    <row r="100" spans="1:10">
      <c r="A100" s="7">
        <f>所有指标!A104</f>
        <v>45368</v>
      </c>
      <c r="B100">
        <f>所有指标!M104</f>
        <v>13.0319004058838</v>
      </c>
      <c r="C100">
        <f>所有指标!O104</f>
        <v>1.26339995861053</v>
      </c>
      <c r="D100">
        <f>1/B100-所有指标!B104/100</f>
        <v>5.3534779184508496E-2</v>
      </c>
      <c r="E100">
        <v>0.36821779999999998</v>
      </c>
      <c r="F100">
        <v>0.28582955469999999</v>
      </c>
      <c r="G100">
        <v>0.4702628856430543</v>
      </c>
      <c r="H100">
        <f>所有指标!N104</f>
        <v>25.470300674438501</v>
      </c>
      <c r="I100">
        <f>所有指标!P104</f>
        <v>4.6085000038146999</v>
      </c>
      <c r="J100">
        <f>1/H100-所有指标!E104/100</f>
        <v>-3.8385867649540356E-3</v>
      </c>
    </row>
    <row r="101" spans="1:10">
      <c r="A101" s="7">
        <f>所有指标!A105</f>
        <v>45361</v>
      </c>
      <c r="B101">
        <f>所有指标!M105</f>
        <v>13.0958003997803</v>
      </c>
      <c r="C101">
        <f>所有指标!O105</f>
        <v>1.2690999507904099</v>
      </c>
      <c r="D101">
        <f>1/B101-所有指标!B105/100</f>
        <v>5.3535357478934731E-2</v>
      </c>
      <c r="E101">
        <v>0.34985646130728759</v>
      </c>
      <c r="F101">
        <v>0.31819274489999999</v>
      </c>
      <c r="G101">
        <v>0.48601796032569639</v>
      </c>
      <c r="H101">
        <f>所有指标!N105</f>
        <v>25.429399490356399</v>
      </c>
      <c r="I101">
        <f>所有指标!P105</f>
        <v>4.6058998107910201</v>
      </c>
      <c r="J101">
        <f>1/H101-所有指标!E105/100</f>
        <v>-1.5754378773580394E-3</v>
      </c>
    </row>
    <row r="102" spans="1:10">
      <c r="A102" s="7">
        <f>所有指标!A106</f>
        <v>45354</v>
      </c>
      <c r="B102">
        <f>所有指标!M106</f>
        <v>12.9348001480103</v>
      </c>
      <c r="C102">
        <f>所有指标!O106</f>
        <v>1.2533999681472801</v>
      </c>
      <c r="D102">
        <f>1/B102-所有指标!B106/100</f>
        <v>5.3635819537774257E-2</v>
      </c>
      <c r="E102">
        <v>0.34985737997937322</v>
      </c>
      <c r="F102">
        <v>0.32398508245000002</v>
      </c>
      <c r="G102">
        <v>0.48964344516068448</v>
      </c>
      <c r="H102">
        <f>所有指标!N106</f>
        <v>25.4976997375488</v>
      </c>
      <c r="I102">
        <f>所有指标!P106</f>
        <v>4.6402001380920401</v>
      </c>
      <c r="J102">
        <f>1/H102-所有指标!E106/100</f>
        <v>-2.6807759016251528E-3</v>
      </c>
    </row>
    <row r="103" spans="1:10">
      <c r="A103" s="7">
        <f>所有指标!A107</f>
        <v>45347</v>
      </c>
      <c r="B103">
        <f>所有指标!M107</f>
        <v>12.8801002502441</v>
      </c>
      <c r="C103">
        <f>所有指标!O107</f>
        <v>1.2489999532699601</v>
      </c>
      <c r="D103">
        <f>1/B103-所有指标!B107/100</f>
        <v>5.3630147255942229E-2</v>
      </c>
      <c r="E103">
        <v>0.34625505882352942</v>
      </c>
      <c r="F103">
        <v>0.31337886149999999</v>
      </c>
      <c r="G103">
        <v>0.45816888649914239</v>
      </c>
      <c r="H103">
        <f>所有指标!N107</f>
        <v>25.923599243164102</v>
      </c>
      <c r="I103">
        <f>所有指标!P107</f>
        <v>4.6234002113342303</v>
      </c>
      <c r="J103">
        <f>1/H103-所有指标!E107/100</f>
        <v>-4.0251095837436981E-3</v>
      </c>
    </row>
    <row r="104" spans="1:10">
      <c r="A104" s="7">
        <f>所有指标!A108</f>
        <v>45340</v>
      </c>
      <c r="B104">
        <f>所有指标!M108</f>
        <v>12.262499809265099</v>
      </c>
      <c r="C104">
        <f>所有指标!O108</f>
        <v>1.1907000541687001</v>
      </c>
      <c r="D104">
        <f>1/B104-所有指标!B108/100</f>
        <v>5.7156440616050921E-2</v>
      </c>
      <c r="E104">
        <v>0.34598318549172352</v>
      </c>
      <c r="F104">
        <v>0.32366616055000003</v>
      </c>
      <c r="G104">
        <v>0.46194334366913942</v>
      </c>
      <c r="H104">
        <f>所有指标!N108</f>
        <v>25.552799224853501</v>
      </c>
      <c r="I104">
        <f>所有指标!P108</f>
        <v>4.5563998222351101</v>
      </c>
      <c r="J104">
        <f>1/H104-所有指标!E108/100</f>
        <v>-3.8653442935767737E-3</v>
      </c>
    </row>
    <row r="105" spans="1:10">
      <c r="A105" s="7">
        <f>所有指标!A109</f>
        <v>45333</v>
      </c>
      <c r="B105">
        <f>所有指标!M109</f>
        <v>12.262499809265099</v>
      </c>
      <c r="C105">
        <f>所有指标!O109</f>
        <v>1.1907000541687001</v>
      </c>
      <c r="D105">
        <f>1/B105-所有指标!B109/100</f>
        <v>5.7247440616050915E-2</v>
      </c>
      <c r="E105">
        <v>0.34211088087596431</v>
      </c>
      <c r="F105">
        <v>0.30173923985000001</v>
      </c>
      <c r="G105">
        <v>0.43778979987571159</v>
      </c>
      <c r="H105">
        <f>所有指标!N109</f>
        <v>25.6798992156982</v>
      </c>
      <c r="I105">
        <f>所有指标!P109</f>
        <v>4.5921998023986799</v>
      </c>
      <c r="J105">
        <f>1/H105-所有指标!E109/100</f>
        <v>-2.7590372025799448E-3</v>
      </c>
    </row>
    <row r="106" spans="1:10">
      <c r="A106" s="7">
        <f>所有指标!A110</f>
        <v>45326</v>
      </c>
      <c r="B106">
        <f>所有指标!M110</f>
        <v>11.748200416564901</v>
      </c>
      <c r="C106">
        <f>所有指标!O110</f>
        <v>1.1411000490188601</v>
      </c>
      <c r="D106">
        <f>1/B106-所有指标!B110/100</f>
        <v>6.1066419531693145E-2</v>
      </c>
      <c r="E106">
        <v>0.32158656790123458</v>
      </c>
      <c r="F106">
        <v>0.3046283024</v>
      </c>
      <c r="G106">
        <v>0.42535454045993748</v>
      </c>
      <c r="H106">
        <f>所有指标!N110</f>
        <v>25.316099166870099</v>
      </c>
      <c r="I106">
        <f>所有指标!P110</f>
        <v>4.52699995040894</v>
      </c>
      <c r="J106">
        <f>1/H106-所有指标!E110/100</f>
        <v>-7.9944371727499325E-4</v>
      </c>
    </row>
    <row r="107" spans="1:10">
      <c r="A107" s="7">
        <f>所有指标!A111</f>
        <v>45319</v>
      </c>
      <c r="B107">
        <f>所有指标!M111</f>
        <v>12.406999588012701</v>
      </c>
      <c r="C107">
        <f>所有指标!O111</f>
        <v>1.20500004291534</v>
      </c>
      <c r="D107">
        <f>1/B107-所有指标!B111/100</f>
        <v>5.5605664157817189E-2</v>
      </c>
      <c r="E107">
        <v>0.29789298136645948</v>
      </c>
      <c r="F107">
        <v>0.33402503529999999</v>
      </c>
      <c r="G107">
        <v>0.43757753986629561</v>
      </c>
      <c r="H107">
        <f>所有指标!N111</f>
        <v>25.405799865722699</v>
      </c>
      <c r="I107">
        <f>所有指标!P111</f>
        <v>4.5345001220703098</v>
      </c>
      <c r="J107">
        <f>1/H107-所有指标!E111/100</f>
        <v>-2.1389090174172426E-3</v>
      </c>
    </row>
    <row r="108" spans="1:10">
      <c r="A108" s="7">
        <f>所有指标!A112</f>
        <v>45312</v>
      </c>
      <c r="B108">
        <f>所有指标!M112</f>
        <v>12.0153999328613</v>
      </c>
      <c r="C108">
        <f>所有指标!O112</f>
        <v>1.1677000522613501</v>
      </c>
      <c r="D108">
        <f>1/B108-所有指标!B112/100</f>
        <v>5.8199526423400032E-2</v>
      </c>
      <c r="E108">
        <v>0.28083512676056349</v>
      </c>
      <c r="F108">
        <v>0.31835238269999999</v>
      </c>
      <c r="G108">
        <v>0.42200929952534061</v>
      </c>
      <c r="H108">
        <f>所有指标!N112</f>
        <v>25.424200057983398</v>
      </c>
      <c r="I108">
        <f>所有指标!P112</f>
        <v>4.4862999916076696</v>
      </c>
      <c r="J108">
        <f>1/H108-所有指标!E112/100</f>
        <v>-2.1673957206377464E-3</v>
      </c>
    </row>
    <row r="109" spans="1:10">
      <c r="A109" s="7">
        <f>所有指标!A113</f>
        <v>45305</v>
      </c>
      <c r="B109">
        <f>所有指标!M113</f>
        <v>12.1859998703003</v>
      </c>
      <c r="C109">
        <f>所有指标!O113</f>
        <v>1.1863000392913801</v>
      </c>
      <c r="D109">
        <f>1/B109-所有指标!B113/100</f>
        <v>5.6889382787078349E-2</v>
      </c>
      <c r="E109">
        <v>0.29644117117117119</v>
      </c>
      <c r="F109">
        <v>0.31353129130000001</v>
      </c>
      <c r="G109">
        <v>0.42424231716856131</v>
      </c>
      <c r="H109">
        <f>所有指标!N113</f>
        <v>24.940900802612301</v>
      </c>
      <c r="I109">
        <f>所有指标!P113</f>
        <v>4.44570016860962</v>
      </c>
      <c r="J109">
        <f>1/H109-所有指标!E113/100</f>
        <v>4.9478277926755937E-4</v>
      </c>
    </row>
    <row r="110" spans="1:10">
      <c r="A110" s="7">
        <f>所有指标!A114</f>
        <v>45298</v>
      </c>
      <c r="B110">
        <f>所有指标!M114</f>
        <v>12.391599655151399</v>
      </c>
      <c r="C110">
        <f>所有指标!O114</f>
        <v>1.20589995384216</v>
      </c>
      <c r="D110">
        <f>1/B110-所有指标!B114/100</f>
        <v>5.5524831162176297E-2</v>
      </c>
      <c r="E110">
        <v>0.30864873971193402</v>
      </c>
      <c r="F110">
        <v>0.346388099</v>
      </c>
      <c r="G110">
        <v>0.4615494508739803</v>
      </c>
      <c r="H110">
        <f>所有指标!N114</f>
        <v>24.368000030517599</v>
      </c>
      <c r="I110">
        <f>所有指标!P114</f>
        <v>4.3653998374939</v>
      </c>
      <c r="J110">
        <f>1/H110-所有指标!E114/100</f>
        <v>5.3742608123917568E-4</v>
      </c>
    </row>
    <row r="111" spans="1:10">
      <c r="A111" s="7">
        <f>所有指标!A115</f>
        <v>45291</v>
      </c>
      <c r="B111">
        <f>所有指标!M115</f>
        <v>12.538399696350099</v>
      </c>
      <c r="C111">
        <f>所有指标!O115</f>
        <v>1.2204999923706099</v>
      </c>
      <c r="D111">
        <f>1/B111-所有指标!B115/100</f>
        <v>5.4201994594014875E-2</v>
      </c>
      <c r="E111">
        <v>0.32993848009650201</v>
      </c>
      <c r="F111">
        <v>0.3459631984</v>
      </c>
      <c r="G111">
        <v>0.47601097862948172</v>
      </c>
      <c r="H111">
        <f>所有指标!N115</f>
        <v>24.839799880981399</v>
      </c>
      <c r="I111">
        <f>所有指标!P115</f>
        <v>4.4404997825622603</v>
      </c>
      <c r="J111">
        <f>1/H111-所有指标!E115/100</f>
        <v>1.4579732844647586E-3</v>
      </c>
    </row>
    <row r="112" spans="1:10">
      <c r="A112" s="7">
        <f>所有指标!A116</f>
        <v>45284</v>
      </c>
      <c r="B112">
        <f>所有指标!M116</f>
        <v>12.259599685668899</v>
      </c>
      <c r="C112">
        <f>所有指标!O116</f>
        <v>1.1936999559402499</v>
      </c>
      <c r="D112">
        <f>1/B112-所有指标!B116/100</f>
        <v>5.5691731903128108E-2</v>
      </c>
      <c r="E112">
        <v>0.35852952512843722</v>
      </c>
      <c r="F112">
        <v>0.33303695405</v>
      </c>
      <c r="G112">
        <v>0.49115007410929579</v>
      </c>
      <c r="H112">
        <f>所有指标!N116</f>
        <v>24.986000061035199</v>
      </c>
      <c r="I112">
        <f>所有指标!P116</f>
        <v>4.4024000167846697</v>
      </c>
      <c r="J112">
        <f>1/H112-所有指标!E116/100</f>
        <v>1.0224124532627887E-3</v>
      </c>
    </row>
    <row r="113" spans="1:10">
      <c r="A113" s="7">
        <f>所有指标!A117</f>
        <v>45277</v>
      </c>
      <c r="B113">
        <f>所有指标!M117</f>
        <v>12.325599670410201</v>
      </c>
      <c r="C113">
        <f>所有指标!O117</f>
        <v>1.1999000310897801</v>
      </c>
      <c r="D113">
        <f>1/B113-所有指标!B117/100</f>
        <v>5.490495517786273E-2</v>
      </c>
      <c r="E113">
        <v>0.35852952512843722</v>
      </c>
      <c r="F113">
        <v>0.33303695405</v>
      </c>
      <c r="G113">
        <v>0.49115007410929579</v>
      </c>
      <c r="H113">
        <f>所有指标!N117</f>
        <v>24.702800750732401</v>
      </c>
      <c r="I113">
        <f>所有指标!P117</f>
        <v>4.3468999862670898</v>
      </c>
      <c r="J113">
        <f>1/H113-所有指标!E117/100</f>
        <v>1.381239762675554E-3</v>
      </c>
    </row>
    <row r="114" spans="1:10">
      <c r="A114" s="7">
        <f>所有指标!A118</f>
        <v>45270</v>
      </c>
      <c r="B114">
        <f>所有指标!M118</f>
        <v>12.424099922180201</v>
      </c>
      <c r="C114">
        <f>所有指标!O118</f>
        <v>1.20980000495911</v>
      </c>
      <c r="D114">
        <f>1/B114-所有指标!B118/100</f>
        <v>5.3852728057856639E-2</v>
      </c>
      <c r="E114">
        <v>0.36089238845144339</v>
      </c>
      <c r="F114">
        <v>0.30657937480000003</v>
      </c>
      <c r="G114">
        <v>0.45951297595991569</v>
      </c>
      <c r="H114">
        <f>所有指标!N118</f>
        <v>24.146499633789102</v>
      </c>
      <c r="I114">
        <f>所有指标!P118</f>
        <v>4.2480001449584996</v>
      </c>
      <c r="J114">
        <f>1/H114-所有指标!E118/100</f>
        <v>-8.8612986701135099E-4</v>
      </c>
    </row>
    <row r="115" spans="1:10">
      <c r="A115" s="7">
        <f>所有指标!A119</f>
        <v>45263</v>
      </c>
      <c r="B115">
        <f>所有指标!M119</f>
        <v>12.662599563598601</v>
      </c>
      <c r="C115">
        <f>所有指标!O119</f>
        <v>1.2332999706268299</v>
      </c>
      <c r="D115">
        <f>1/B115-所有指标!B119/100</f>
        <v>5.2347725543238202E-2</v>
      </c>
      <c r="E115">
        <v>0.35849021686747001</v>
      </c>
      <c r="F115">
        <v>0.30016220119999998</v>
      </c>
      <c r="G115">
        <v>0.44805615416476169</v>
      </c>
      <c r="H115">
        <f>所有指标!N119</f>
        <v>24.0723991394043</v>
      </c>
      <c r="I115">
        <f>所有指标!P119</f>
        <v>4.23589992523193</v>
      </c>
      <c r="J115">
        <f>1/H115-所有指标!E119/100</f>
        <v>-6.5864825483504669E-4</v>
      </c>
    </row>
    <row r="116" spans="1:10">
      <c r="A116" s="7">
        <f>所有指标!A120</f>
        <v>45256</v>
      </c>
      <c r="B116">
        <f>所有指标!M120</f>
        <v>12.681200027465801</v>
      </c>
      <c r="C116">
        <f>所有指标!O120</f>
        <v>1.2353999614715601</v>
      </c>
      <c r="D116">
        <f>1/B116-所有指标!B120/100</f>
        <v>5.1803890344299622E-2</v>
      </c>
      <c r="E116">
        <v>0.36199939558371153</v>
      </c>
      <c r="F116">
        <v>0.26348042560000001</v>
      </c>
      <c r="G116">
        <v>0.42445289615881371</v>
      </c>
      <c r="H116">
        <f>所有指标!N120</f>
        <v>23.9592990875244</v>
      </c>
      <c r="I116">
        <f>所有指标!P120</f>
        <v>4.2121000289917001</v>
      </c>
      <c r="J116">
        <f>1/H116-所有指标!E120/100</f>
        <v>-2.9625519909011119E-3</v>
      </c>
    </row>
    <row r="117" spans="1:10">
      <c r="A117" s="7">
        <f>所有指标!A121</f>
        <v>45249</v>
      </c>
      <c r="B117">
        <f>所有指标!M121</f>
        <v>12.717100143432599</v>
      </c>
      <c r="C117">
        <f>所有指标!O121</f>
        <v>1.2389999628067001</v>
      </c>
      <c r="D117">
        <f>1/B117-所有指标!B121/100</f>
        <v>5.2110278941054244E-2</v>
      </c>
      <c r="E117">
        <v>0.38300172109376263</v>
      </c>
      <c r="F117">
        <v>0.25703756919999998</v>
      </c>
      <c r="G117">
        <v>0.40815685888893549</v>
      </c>
      <c r="H117">
        <f>所有指标!N121</f>
        <v>23.874900817871101</v>
      </c>
      <c r="I117">
        <f>所有指标!P121</f>
        <v>4.1725997924804696</v>
      </c>
      <c r="J117">
        <f>1/H117-所有指标!E121/100</f>
        <v>-2.515009246385265E-3</v>
      </c>
    </row>
    <row r="118" spans="1:10">
      <c r="A118" s="7">
        <f>所有指标!A122</f>
        <v>45242</v>
      </c>
      <c r="B118">
        <f>所有指标!M122</f>
        <v>12.6661996841431</v>
      </c>
      <c r="C118">
        <f>所有指标!O122</f>
        <v>1.2339999675750699</v>
      </c>
      <c r="D118">
        <f>1/B118-所有指标!B122/100</f>
        <v>5.2506279084254974E-2</v>
      </c>
      <c r="E118">
        <v>0.34321608040201013</v>
      </c>
      <c r="F118">
        <v>0.29047879609999999</v>
      </c>
      <c r="G118">
        <v>0.42502787995872271</v>
      </c>
      <c r="H118">
        <f>所有指标!N122</f>
        <v>23.394599914550799</v>
      </c>
      <c r="I118">
        <f>所有指标!P122</f>
        <v>4.0847001075744602</v>
      </c>
      <c r="J118">
        <f>1/H118-所有指标!E122/100</f>
        <v>-3.3550928995358734E-3</v>
      </c>
    </row>
    <row r="119" spans="1:10">
      <c r="A119" s="7">
        <f>所有指标!A123</f>
        <v>45235</v>
      </c>
      <c r="B119">
        <f>所有指标!M123</f>
        <v>12.668000221252401</v>
      </c>
      <c r="C119">
        <f>所有指标!O123</f>
        <v>1.2336000204086299</v>
      </c>
      <c r="D119">
        <f>1/B119-所有指标!B123/100</f>
        <v>5.2326057667709508E-2</v>
      </c>
      <c r="E119">
        <v>0.36042614079561069</v>
      </c>
      <c r="F119">
        <v>0.30855632285000001</v>
      </c>
      <c r="G119">
        <v>0.46858128136394789</v>
      </c>
      <c r="H119">
        <f>所有指标!N123</f>
        <v>23.030899047851602</v>
      </c>
      <c r="I119">
        <f>所有指标!P123</f>
        <v>4.0300998687744096</v>
      </c>
      <c r="J119">
        <f>1/H119-所有指标!E123/100</f>
        <v>-2.2800710635617477E-3</v>
      </c>
    </row>
    <row r="120" spans="1:10">
      <c r="A120" s="7">
        <f>所有指标!A124</f>
        <v>45228</v>
      </c>
      <c r="B120">
        <f>所有指标!M124</f>
        <v>12.647199630737299</v>
      </c>
      <c r="C120">
        <f>所有指标!O124</f>
        <v>1.2389999628067001</v>
      </c>
      <c r="D120">
        <f>1/B120-所有指标!B124/100</f>
        <v>5.1935887121037923E-2</v>
      </c>
      <c r="E120">
        <v>0.36925452678629261</v>
      </c>
      <c r="F120">
        <v>0.319067828</v>
      </c>
      <c r="G120">
        <v>0.46794077558245217</v>
      </c>
      <c r="H120">
        <f>所有指标!N124</f>
        <v>21.6396999359131</v>
      </c>
      <c r="I120">
        <f>所有指标!P124</f>
        <v>3.81780004501343</v>
      </c>
      <c r="J120">
        <f>1/H120-所有指标!E124/100</f>
        <v>-2.1886383377984486E-3</v>
      </c>
    </row>
    <row r="121" spans="1:10">
      <c r="A121" s="7">
        <f>所有指标!A125</f>
        <v>45221</v>
      </c>
      <c r="B121">
        <f>所有指标!M125</f>
        <v>12.6078996658325</v>
      </c>
      <c r="C121">
        <f>所有指标!O125</f>
        <v>1.24580001831055</v>
      </c>
      <c r="D121">
        <f>1/B121-所有指标!B125/100</f>
        <v>5.2263352001888731E-2</v>
      </c>
      <c r="E121">
        <v>0.36958336892448018</v>
      </c>
      <c r="F121">
        <v>0.28633592120000001</v>
      </c>
      <c r="G121">
        <v>0.43656740785353232</v>
      </c>
      <c r="H121">
        <f>所有指标!N125</f>
        <v>22.6473999023438</v>
      </c>
      <c r="I121">
        <f>所有指标!P125</f>
        <v>3.9563000202178999</v>
      </c>
      <c r="J121">
        <f>1/H121-所有指标!E125/100</f>
        <v>-5.1448208486613439E-3</v>
      </c>
    </row>
    <row r="122" spans="1:10">
      <c r="A122" s="7">
        <f>所有指标!A126</f>
        <v>45214</v>
      </c>
      <c r="B122">
        <f>所有指标!M126</f>
        <v>13.0443000793457</v>
      </c>
      <c r="C122">
        <f>所有指标!O126</f>
        <v>1.2878999710082999</v>
      </c>
      <c r="D122">
        <f>1/B122-所有指标!B126/100</f>
        <v>4.9959836504619867E-2</v>
      </c>
      <c r="E122">
        <v>0.34488726105563511</v>
      </c>
      <c r="F122">
        <v>0.28116799669999998</v>
      </c>
      <c r="G122">
        <v>0.41422551133654728</v>
      </c>
      <c r="H122">
        <f>所有指标!N126</f>
        <v>23.460399627685501</v>
      </c>
      <c r="I122">
        <f>所有指标!P126</f>
        <v>4.0525999069213903</v>
      </c>
      <c r="J122">
        <f>1/H122-所有指标!E126/100</f>
        <v>-3.6749801422860245E-3</v>
      </c>
    </row>
    <row r="123" spans="1:10">
      <c r="A123" s="7">
        <f>所有指标!A127</f>
        <v>45207</v>
      </c>
      <c r="B123">
        <f>所有指标!M127</f>
        <v>13.0746002197266</v>
      </c>
      <c r="C123">
        <f>所有指标!O127</f>
        <v>1.29419994354248</v>
      </c>
      <c r="D123">
        <f>1/B123-所有指标!B127/100</f>
        <v>4.9858174138741718E-2</v>
      </c>
      <c r="E123">
        <v>0.38939958074301551</v>
      </c>
      <c r="F123">
        <v>0.29522978609999989</v>
      </c>
      <c r="G123">
        <v>0.47603036318484371</v>
      </c>
      <c r="H123">
        <f>所有指标!N127</f>
        <v>23.431800842285199</v>
      </c>
      <c r="I123">
        <f>所有指标!P127</f>
        <v>4.0402998924255398</v>
      </c>
      <c r="J123">
        <f>1/H123-所有指标!E127/100</f>
        <v>-5.1229558098926514E-3</v>
      </c>
    </row>
    <row r="124" spans="1:10">
      <c r="A124" s="7">
        <f>所有指标!A128</f>
        <v>45200</v>
      </c>
      <c r="B124">
        <f>所有指标!M128</f>
        <v>13.0746002197266</v>
      </c>
      <c r="C124">
        <f>所有指标!O128</f>
        <v>1.29419994354248</v>
      </c>
      <c r="D124">
        <f>1/B124-所有指标!B128/100</f>
        <v>4.9733174138741718E-2</v>
      </c>
      <c r="E124">
        <v>0.39109090909090921</v>
      </c>
      <c r="F124">
        <v>0.28707634990000003</v>
      </c>
      <c r="G124">
        <v>0.48518843526808242</v>
      </c>
      <c r="H124">
        <f>所有指标!N128</f>
        <v>23.344499588012699</v>
      </c>
      <c r="I124">
        <f>所有指标!P128</f>
        <v>4.0138001441955602</v>
      </c>
      <c r="J124">
        <f>1/H124-所有指标!E128/100</f>
        <v>-3.0633567800487024E-3</v>
      </c>
    </row>
    <row r="125" spans="1:10">
      <c r="A125" s="7">
        <f>所有指标!A129</f>
        <v>45193</v>
      </c>
      <c r="B125">
        <f>所有指标!M129</f>
        <v>13.163700103759799</v>
      </c>
      <c r="C125">
        <f>所有指标!O129</f>
        <v>1.30330002307892</v>
      </c>
      <c r="D125">
        <f>1/B125-所有指标!B129/100</f>
        <v>4.9190482988653104E-2</v>
      </c>
      <c r="E125">
        <v>0.43888182326621927</v>
      </c>
      <c r="F125">
        <v>0.25043992799999998</v>
      </c>
      <c r="G125">
        <v>0.45977110836680118</v>
      </c>
      <c r="H125">
        <f>所有指标!N129</f>
        <v>23.451400756835898</v>
      </c>
      <c r="I125">
        <f>所有指标!P129</f>
        <v>4.0419001579284703</v>
      </c>
      <c r="J125">
        <f>1/H125-所有指标!E129/100</f>
        <v>-1.7586238890865483E-3</v>
      </c>
    </row>
    <row r="126" spans="1:10">
      <c r="A126" s="7">
        <f>所有指标!A130</f>
        <v>45186</v>
      </c>
      <c r="B126">
        <f>所有指标!M130</f>
        <v>13.0896997451782</v>
      </c>
      <c r="C126">
        <f>所有指标!O130</f>
        <v>1.29540002346039</v>
      </c>
      <c r="D126">
        <f>1/B126-所有指标!B130/100</f>
        <v>4.9995946390471328E-2</v>
      </c>
      <c r="E126">
        <v>0.41101564136650393</v>
      </c>
      <c r="F126">
        <v>0.27841740149999999</v>
      </c>
      <c r="G126">
        <v>0.47038923425889861</v>
      </c>
      <c r="H126">
        <f>所有指标!N130</f>
        <v>24.218799591064499</v>
      </c>
      <c r="I126">
        <f>所有指标!P130</f>
        <v>4.1539001464843803</v>
      </c>
      <c r="J126">
        <f>1/H126-所有指标!E130/100</f>
        <v>-2.0097619665283076E-3</v>
      </c>
    </row>
    <row r="127" spans="1:10">
      <c r="A127" s="7">
        <f>所有指标!A131</f>
        <v>45179</v>
      </c>
      <c r="B127">
        <f>所有指标!M131</f>
        <v>13.0426998138428</v>
      </c>
      <c r="C127">
        <f>所有指标!O131</f>
        <v>1.29009997844696</v>
      </c>
      <c r="D127">
        <f>1/B127-所有指标!B131/100</f>
        <v>5.0296242478390506E-2</v>
      </c>
      <c r="E127">
        <v>0.430755</v>
      </c>
      <c r="F127">
        <v>0.2832753382</v>
      </c>
      <c r="G127">
        <v>0.49581041562492878</v>
      </c>
      <c r="H127">
        <f>所有指标!N131</f>
        <v>24.275800704956101</v>
      </c>
      <c r="I127">
        <f>所有指标!P131</f>
        <v>4.1602001190185502</v>
      </c>
      <c r="J127">
        <f>1/H127-所有指标!E131/100</f>
        <v>-1.4067140543033915E-3</v>
      </c>
    </row>
    <row r="128" spans="1:10">
      <c r="A128" s="7">
        <f>所有指标!A132</f>
        <v>45172</v>
      </c>
      <c r="B128">
        <f>所有指标!M132</f>
        <v>13.0913000106812</v>
      </c>
      <c r="C128">
        <f>所有指标!O132</f>
        <v>1.29499995708466</v>
      </c>
      <c r="D128">
        <f>1/B128-所有指标!B132/100</f>
        <v>5.0536607837579101E-2</v>
      </c>
      <c r="E128">
        <v>0.45841770965143003</v>
      </c>
      <c r="F128">
        <v>0.24583028035000001</v>
      </c>
      <c r="G128">
        <v>0.46133536555825883</v>
      </c>
      <c r="H128">
        <f>所有指标!N132</f>
        <v>24.552000045776399</v>
      </c>
      <c r="I128">
        <f>所有指标!P132</f>
        <v>4.2097001075744602</v>
      </c>
      <c r="J128">
        <f>1/H128-所有指标!E132/100</f>
        <v>-1.0701206363826626E-3</v>
      </c>
    </row>
    <row r="129" spans="1:10">
      <c r="A129" s="7">
        <f>所有指标!A133</f>
        <v>45165</v>
      </c>
      <c r="B129">
        <f>所有指标!M133</f>
        <v>12.706500053405801</v>
      </c>
      <c r="C129">
        <f>所有指标!O133</f>
        <v>1.2874000072479199</v>
      </c>
      <c r="D129">
        <f>1/B129-所有指标!B133/100</f>
        <v>5.2997877684411124E-2</v>
      </c>
      <c r="E129">
        <v>0.45841770965143003</v>
      </c>
      <c r="F129">
        <v>0.24583028035000001</v>
      </c>
      <c r="G129">
        <v>0.46133536555825883</v>
      </c>
      <c r="H129">
        <f>所有指标!N133</f>
        <v>23.941799163818398</v>
      </c>
      <c r="I129">
        <f>所有指标!P133</f>
        <v>4.10379981994629</v>
      </c>
      <c r="J129">
        <f>1/H129-所有指标!E133/100</f>
        <v>-7.3204458622176671E-4</v>
      </c>
    </row>
    <row r="130" spans="1:10">
      <c r="A130" s="7">
        <f>所有指标!A134</f>
        <v>45158</v>
      </c>
      <c r="B130">
        <f>所有指标!M134</f>
        <v>12.8016004562378</v>
      </c>
      <c r="C130">
        <f>所有指标!O134</f>
        <v>1.3147000074386599</v>
      </c>
      <c r="D130">
        <f>1/B130-所有指标!B134/100</f>
        <v>5.2476232811592152E-2</v>
      </c>
      <c r="E130">
        <v>0.43222900302114797</v>
      </c>
      <c r="F130">
        <v>0.2747961988</v>
      </c>
      <c r="G130">
        <v>0.47464765932749142</v>
      </c>
      <c r="H130">
        <f>所有指标!N134</f>
        <v>23.802000045776399</v>
      </c>
      <c r="I130">
        <f>所有指标!P134</f>
        <v>4.0687999725341797</v>
      </c>
      <c r="J130">
        <f>1/H130-所有指标!E134/100</f>
        <v>-5.8672388552291621E-4</v>
      </c>
    </row>
    <row r="131" spans="1:10">
      <c r="A131" s="7">
        <f>所有指标!A135</f>
        <v>45151</v>
      </c>
      <c r="B131">
        <f>所有指标!M135</f>
        <v>12.942299842834499</v>
      </c>
      <c r="C131">
        <f>所有指标!O135</f>
        <v>1.3365000486373899</v>
      </c>
      <c r="D131">
        <f>1/B131-所有指标!B135/100</f>
        <v>5.0885020115709931E-2</v>
      </c>
      <c r="E131">
        <v>0.41112098928786062</v>
      </c>
      <c r="F131">
        <v>0.28057467949999998</v>
      </c>
      <c r="G131">
        <v>0.46986498288016271</v>
      </c>
      <c r="H131">
        <f>所有指标!N135</f>
        <v>24.391399383544901</v>
      </c>
      <c r="I131">
        <f>所有指标!P135</f>
        <v>4.1616997718811</v>
      </c>
      <c r="J131">
        <f>1/H131-所有指标!E135/100</f>
        <v>-6.0194227172438719E-4</v>
      </c>
    </row>
    <row r="132" spans="1:10">
      <c r="A132" s="7">
        <f>所有指标!A136</f>
        <v>45144</v>
      </c>
      <c r="B132">
        <f>所有指标!M136</f>
        <v>13.311499595642101</v>
      </c>
      <c r="C132">
        <f>所有指标!O136</f>
        <v>1.3760999441146899</v>
      </c>
      <c r="D132">
        <f>1/B132-所有指标!B136/100</f>
        <v>4.8654016217299707E-2</v>
      </c>
      <c r="E132">
        <v>0.37454058329635792</v>
      </c>
      <c r="F132">
        <v>0.31642645294999999</v>
      </c>
      <c r="G132">
        <v>0.46294424618045771</v>
      </c>
      <c r="H132">
        <f>所有指标!N136</f>
        <v>25.565900802612301</v>
      </c>
      <c r="I132">
        <f>所有指标!P136</f>
        <v>4.1861000061035201</v>
      </c>
      <c r="J132">
        <f>1/H132-所有指标!E136/100</f>
        <v>-1.3853993559334796E-3</v>
      </c>
    </row>
    <row r="133" spans="1:10">
      <c r="A133" s="7">
        <f>所有指标!A137</f>
        <v>45137</v>
      </c>
      <c r="B133">
        <f>所有指标!M137</f>
        <v>13.274900436401399</v>
      </c>
      <c r="C133">
        <f>所有指标!O137</f>
        <v>1.3722000122070299</v>
      </c>
      <c r="D133">
        <f>1/B133-所有指标!B137/100</f>
        <v>4.8797131837213473E-2</v>
      </c>
      <c r="E133">
        <v>0.37220125193199372</v>
      </c>
      <c r="F133">
        <v>0.29970258399999999</v>
      </c>
      <c r="G133">
        <v>0.45952140904385919</v>
      </c>
      <c r="H133">
        <f>所有指标!N137</f>
        <v>25.8495998382568</v>
      </c>
      <c r="I133">
        <f>所有指标!P137</f>
        <v>4.2934999465942401</v>
      </c>
      <c r="J133">
        <f>1/H133-所有指标!E137/100</f>
        <v>-9.1468160988614211E-4</v>
      </c>
    </row>
    <row r="134" spans="1:10">
      <c r="A134" s="7">
        <f>所有指标!A138</f>
        <v>45130</v>
      </c>
      <c r="B134">
        <f>所有指标!M138</f>
        <v>12.822400093078601</v>
      </c>
      <c r="C134">
        <f>所有指标!O138</f>
        <v>1.3240000009536701</v>
      </c>
      <c r="D134">
        <f>1/B134-所有指标!B138/100</f>
        <v>5.1909519523719257E-2</v>
      </c>
      <c r="E134">
        <v>0.3614938036224975</v>
      </c>
      <c r="F134">
        <v>0.32835620250000003</v>
      </c>
      <c r="G134">
        <v>0.47195440948627682</v>
      </c>
      <c r="H134">
        <f>所有指标!N138</f>
        <v>25.488899230956999</v>
      </c>
      <c r="I134">
        <f>所有指标!P138</f>
        <v>4.2638001441955602</v>
      </c>
      <c r="J134">
        <f>1/H134-所有指标!E138/100</f>
        <v>8.3276524964528281E-4</v>
      </c>
    </row>
    <row r="135" spans="1:10">
      <c r="A135" s="7">
        <f>所有指标!A139</f>
        <v>45123</v>
      </c>
      <c r="B135">
        <f>所有指标!M139</f>
        <v>13.0958003997803</v>
      </c>
      <c r="C135">
        <f>所有指标!O139</f>
        <v>1.3406000137329099</v>
      </c>
      <c r="D135">
        <f>1/B135-所有指标!B139/100</f>
        <v>4.9916357478934727E-2</v>
      </c>
      <c r="E135">
        <v>0.36424388006484271</v>
      </c>
      <c r="F135">
        <v>0.36087149925000001</v>
      </c>
      <c r="G135">
        <v>0.49245615903897882</v>
      </c>
      <c r="H135">
        <f>所有指标!N139</f>
        <v>25.469600677490199</v>
      </c>
      <c r="I135">
        <f>所有指标!P139</f>
        <v>4.2631998062133798</v>
      </c>
      <c r="J135">
        <f>1/H135-所有指标!E139/100</f>
        <v>9.6249228099563183E-4</v>
      </c>
    </row>
    <row r="136" spans="1:10">
      <c r="A136" s="7">
        <f>所有指标!A140</f>
        <v>45116</v>
      </c>
      <c r="B136">
        <f>所有指标!M140</f>
        <v>12.939399719238301</v>
      </c>
      <c r="C136">
        <f>所有指标!O140</f>
        <v>1.3155000209808301</v>
      </c>
      <c r="D136">
        <f>1/B136-所有指标!B140/100</f>
        <v>5.0880337843965048E-2</v>
      </c>
      <c r="E136">
        <v>0.36985305565039273</v>
      </c>
      <c r="F136">
        <v>0.37259104209999999</v>
      </c>
      <c r="G136">
        <v>0.51443061991789008</v>
      </c>
      <c r="H136">
        <f>所有指标!N140</f>
        <v>25.007799148559599</v>
      </c>
      <c r="I136">
        <f>所有指标!P140</f>
        <v>4.1658000946044904</v>
      </c>
      <c r="J136">
        <f>1/H136-所有指标!E140/100</f>
        <v>-6.1247474599946533E-4</v>
      </c>
    </row>
    <row r="137" spans="1:10">
      <c r="A137" s="7">
        <f>所有指标!A141</f>
        <v>45109</v>
      </c>
      <c r="B137">
        <f>所有指标!M141</f>
        <v>12.9359998703003</v>
      </c>
      <c r="C137">
        <f>所有指标!O141</f>
        <v>1.31319999694824</v>
      </c>
      <c r="D137">
        <f>1/B137-所有指标!B141/100</f>
        <v>5.095264950728666E-2</v>
      </c>
      <c r="E137">
        <v>0.3861335410900576</v>
      </c>
      <c r="F137">
        <v>0.35459572254999999</v>
      </c>
      <c r="G137">
        <v>0.49426896866590903</v>
      </c>
      <c r="H137">
        <f>所有指标!N141</f>
        <v>25.2940998077393</v>
      </c>
      <c r="I137">
        <f>所有指标!P141</f>
        <v>4.21350002288818</v>
      </c>
      <c r="J137">
        <f>1/H137-所有指标!E141/100</f>
        <v>1.434911603931735E-3</v>
      </c>
    </row>
    <row r="138" spans="1:10">
      <c r="A138" s="7">
        <f>所有指标!A142</f>
        <v>45102</v>
      </c>
      <c r="B138">
        <f>所有指标!M142</f>
        <v>12.885700225830099</v>
      </c>
      <c r="C138">
        <f>所有指标!O142</f>
        <v>1.30280005931854</v>
      </c>
      <c r="D138">
        <f>1/B138-所有指标!B142/100</f>
        <v>5.1029406184713549E-2</v>
      </c>
      <c r="E138">
        <v>0.36292130043500348</v>
      </c>
      <c r="F138">
        <v>0.36253974849999998</v>
      </c>
      <c r="G138">
        <v>0.49086275875066693</v>
      </c>
      <c r="H138">
        <f>所有指标!N142</f>
        <v>24.746700286865199</v>
      </c>
      <c r="I138">
        <f>所有指标!P142</f>
        <v>4.1317000389099103</v>
      </c>
      <c r="J138">
        <f>1/H138-所有指标!E142/100</f>
        <v>3.0094278593889856E-3</v>
      </c>
    </row>
    <row r="139" spans="1:10">
      <c r="A139" s="7">
        <f>所有指标!A143</f>
        <v>45095</v>
      </c>
      <c r="B139">
        <f>所有指标!M143</f>
        <v>13.2062997817993</v>
      </c>
      <c r="C139">
        <f>所有指标!O143</f>
        <v>1.3322000503539999</v>
      </c>
      <c r="D139">
        <f>1/B139-所有指标!B143/100</f>
        <v>4.9095437232417147E-2</v>
      </c>
      <c r="E139">
        <v>0.35661985171840371</v>
      </c>
      <c r="F139">
        <v>0.34606955164999997</v>
      </c>
      <c r="G139">
        <v>0.47252134483455982</v>
      </c>
      <c r="H139">
        <f>所有指标!N143</f>
        <v>25.028099060058601</v>
      </c>
      <c r="I139">
        <f>所有指标!P143</f>
        <v>4.17439985275269</v>
      </c>
      <c r="J139">
        <f>1/H139-所有指标!E143/100</f>
        <v>2.2550919788335982E-3</v>
      </c>
    </row>
    <row r="140" spans="1:10">
      <c r="A140" s="7">
        <f>所有指标!A144</f>
        <v>45088</v>
      </c>
      <c r="B140">
        <f>所有指标!M144</f>
        <v>13.174699783325201</v>
      </c>
      <c r="C140">
        <f>所有指标!O144</f>
        <v>1.3206000328064</v>
      </c>
      <c r="D140">
        <f>1/B140-所有指标!B144/100</f>
        <v>4.9200057864412838E-2</v>
      </c>
      <c r="E140">
        <v>0.38930432630513839</v>
      </c>
      <c r="F140">
        <v>0.32272731425000001</v>
      </c>
      <c r="G140">
        <v>0.47471062739890613</v>
      </c>
      <c r="H140">
        <f>所有指标!N144</f>
        <v>24.401199340820298</v>
      </c>
      <c r="I140">
        <f>所有指标!P144</f>
        <v>4.0728001594543501</v>
      </c>
      <c r="J140">
        <f>1/H140-所有指标!E144/100</f>
        <v>3.4815921763779525E-3</v>
      </c>
    </row>
    <row r="141" spans="1:10">
      <c r="A141" s="7">
        <f>所有指标!A145</f>
        <v>45081</v>
      </c>
      <c r="B141">
        <f>所有指标!M145</f>
        <v>13.103899955749499</v>
      </c>
      <c r="C141">
        <f>所有指标!O145</f>
        <v>1.3102999925613401</v>
      </c>
      <c r="D141">
        <f>1/B141-所有指标!B145/100</f>
        <v>4.9362158935652392E-2</v>
      </c>
      <c r="E141">
        <v>0.37811431018328079</v>
      </c>
      <c r="F141">
        <v>0.34818895090000002</v>
      </c>
      <c r="G141">
        <v>0.47534795451217182</v>
      </c>
      <c r="H141">
        <f>所有指标!N145</f>
        <v>24.31130027771</v>
      </c>
      <c r="I141">
        <f>所有指标!P145</f>
        <v>4.0594000816345197</v>
      </c>
      <c r="J141">
        <f>1/H141-所有指标!E145/100</f>
        <v>4.233135150194231E-3</v>
      </c>
    </row>
    <row r="142" spans="1:10">
      <c r="A142" s="7">
        <f>所有指标!A146</f>
        <v>45074</v>
      </c>
      <c r="B142">
        <f>所有指标!M146</f>
        <v>13.078300476074199</v>
      </c>
      <c r="C142">
        <f>所有指标!O146</f>
        <v>1.29970002174377</v>
      </c>
      <c r="D142">
        <f>1/B142-所有指标!B146/100</f>
        <v>4.9257534396531667E-2</v>
      </c>
      <c r="E142">
        <v>0.37317344567112132</v>
      </c>
      <c r="F142">
        <v>0.34321919960000002</v>
      </c>
      <c r="G142">
        <v>0.47191357210927748</v>
      </c>
      <c r="H142">
        <f>所有指标!N146</f>
        <v>23.907899856567401</v>
      </c>
      <c r="I142">
        <f>所有指标!P146</f>
        <v>3.9893000125885001</v>
      </c>
      <c r="J142">
        <f>1/H142-所有指标!E146/100</f>
        <v>3.8271787149595296E-3</v>
      </c>
    </row>
    <row r="143" spans="1:10">
      <c r="A143" s="7">
        <f>所有指标!A147</f>
        <v>45067</v>
      </c>
      <c r="B143">
        <f>所有指标!M147</f>
        <v>13.3860998153687</v>
      </c>
      <c r="C143">
        <f>所有指标!O147</f>
        <v>1.33019995689392</v>
      </c>
      <c r="D143">
        <f>1/B143-所有指标!B147/100</f>
        <v>4.7553358535552766E-2</v>
      </c>
      <c r="E143">
        <v>0.36048268858800769</v>
      </c>
      <c r="F143">
        <v>0.33829419770000002</v>
      </c>
      <c r="G143">
        <v>0.44824831316142538</v>
      </c>
      <c r="H143">
        <f>所有指标!N147</f>
        <v>23.819900512695298</v>
      </c>
      <c r="I143">
        <f>所有指标!P147</f>
        <v>3.9760999679565399</v>
      </c>
      <c r="J143">
        <f>1/H143-所有指标!E147/100</f>
        <v>4.9817034696274104E-3</v>
      </c>
    </row>
    <row r="144" spans="1:10">
      <c r="A144" s="7">
        <f>所有指标!A148</f>
        <v>45060</v>
      </c>
      <c r="B144">
        <f>所有指标!M148</f>
        <v>13.3557996749878</v>
      </c>
      <c r="C144">
        <f>所有指标!O148</f>
        <v>1.3257999420166</v>
      </c>
      <c r="D144">
        <f>1/B144-所有指标!B148/100</f>
        <v>4.7815839405719707E-2</v>
      </c>
      <c r="E144">
        <v>0.38979578714566332</v>
      </c>
      <c r="F144">
        <v>0.32721400164999997</v>
      </c>
      <c r="G144">
        <v>0.46014538067321292</v>
      </c>
      <c r="H144">
        <f>所有指标!N148</f>
        <v>23.3903999328613</v>
      </c>
      <c r="I144">
        <f>所有指标!P148</f>
        <v>3.9066998958587602</v>
      </c>
      <c r="J144">
        <f>1/H144-所有指标!E148/100</f>
        <v>8.1525823786832569E-3</v>
      </c>
    </row>
    <row r="145" spans="1:10">
      <c r="A145" s="7">
        <f>所有指标!A149</f>
        <v>45053</v>
      </c>
      <c r="B145">
        <f>所有指标!M149</f>
        <v>13.6284999847412</v>
      </c>
      <c r="C145">
        <f>所有指标!O149</f>
        <v>1.35300004482269</v>
      </c>
      <c r="D145">
        <f>1/B145-所有指标!B149/100</f>
        <v>4.6064646705039014E-2</v>
      </c>
      <c r="E145">
        <v>0.39556511050992488</v>
      </c>
      <c r="F145">
        <v>0.30341783979999998</v>
      </c>
      <c r="G145">
        <v>0.44653467828648591</v>
      </c>
      <c r="H145">
        <f>所有指标!N149</f>
        <v>23.6935005187988</v>
      </c>
      <c r="I145">
        <f>所有指标!P149</f>
        <v>3.9147999286651598</v>
      </c>
      <c r="J145">
        <f>1/H145-所有指标!E149/100</f>
        <v>7.8056672970962665E-3</v>
      </c>
    </row>
    <row r="146" spans="1:10">
      <c r="A146" s="7">
        <f>所有指标!A150</f>
        <v>45046</v>
      </c>
      <c r="B146">
        <f>所有指标!M150</f>
        <v>13.546400070190399</v>
      </c>
      <c r="C146">
        <f>所有指标!O150</f>
        <v>1.3453999757766699</v>
      </c>
      <c r="D146">
        <f>1/B146-所有指标!B150/100</f>
        <v>4.6032350411808316E-2</v>
      </c>
      <c r="E146">
        <v>0.39691478260869578</v>
      </c>
      <c r="F146">
        <v>0.28005713440000002</v>
      </c>
      <c r="G146">
        <v>0.44019611683129778</v>
      </c>
      <c r="H146">
        <f>所有指标!N150</f>
        <v>23.752199172973601</v>
      </c>
      <c r="I146">
        <f>所有指标!P150</f>
        <v>3.9584000110626198</v>
      </c>
      <c r="J146">
        <f>1/H146-所有指标!E150/100</f>
        <v>7.7013647080666214E-3</v>
      </c>
    </row>
    <row r="147" spans="1:10">
      <c r="A147" s="7">
        <f>所有指标!A151</f>
        <v>45039</v>
      </c>
      <c r="B147">
        <f>所有指标!M151</f>
        <v>13.502499580383301</v>
      </c>
      <c r="C147">
        <f>所有指标!O151</f>
        <v>1.3682999610900899</v>
      </c>
      <c r="D147">
        <f>1/B147-所有指标!B151/100</f>
        <v>4.5840361494313232E-2</v>
      </c>
      <c r="E147">
        <v>0.44082357207615619</v>
      </c>
      <c r="F147">
        <v>0.27135341660000001</v>
      </c>
      <c r="G147">
        <v>0.45116442139835139</v>
      </c>
      <c r="H147">
        <f>所有指标!N151</f>
        <v>23.679399490356399</v>
      </c>
      <c r="I147">
        <f>所有指标!P151</f>
        <v>3.9495999813079798</v>
      </c>
      <c r="J147">
        <f>1/H147-所有指标!E151/100</f>
        <v>6.5308006758050194E-3</v>
      </c>
    </row>
    <row r="148" spans="1:10">
      <c r="A148" s="7">
        <f>所有指标!A152</f>
        <v>45032</v>
      </c>
      <c r="B148">
        <f>所有指标!M152</f>
        <v>13.7021999359131</v>
      </c>
      <c r="C148">
        <f>所有指标!O152</f>
        <v>1.3779000043869001</v>
      </c>
      <c r="D148">
        <f>1/B148-所有指标!B152/100</f>
        <v>4.4699981497651822E-2</v>
      </c>
      <c r="E148">
        <v>0.44750907990314742</v>
      </c>
      <c r="F148">
        <v>0.28002012780000002</v>
      </c>
      <c r="G148">
        <v>0.45825412052104958</v>
      </c>
      <c r="H148">
        <f>所有指标!N152</f>
        <v>23.552200317382798</v>
      </c>
      <c r="I148">
        <f>所有指标!P152</f>
        <v>3.9695999622345002</v>
      </c>
      <c r="J148">
        <f>1/H148-所有指标!E152/100</f>
        <v>7.2588780039351958E-3</v>
      </c>
    </row>
    <row r="149" spans="1:10">
      <c r="A149" s="7">
        <f>所有指标!A153</f>
        <v>45025</v>
      </c>
      <c r="B149">
        <f>所有指标!M153</f>
        <v>13.6245002746582</v>
      </c>
      <c r="C149">
        <f>所有指标!O153</f>
        <v>1.36969995498657</v>
      </c>
      <c r="D149">
        <f>1/B149-所有指标!B153/100</f>
        <v>4.4933187408041447E-2</v>
      </c>
      <c r="E149">
        <v>0.46209944751381199</v>
      </c>
      <c r="F149">
        <v>0.27139638160000001</v>
      </c>
      <c r="G149">
        <v>0.45821577711316941</v>
      </c>
      <c r="H149">
        <f>所有指标!N153</f>
        <v>23.473800659179702</v>
      </c>
      <c r="I149">
        <f>所有指标!P153</f>
        <v>3.9500999450683598</v>
      </c>
      <c r="J149">
        <f>1/H149-所有指标!E153/100</f>
        <v>8.7006855267784886E-3</v>
      </c>
    </row>
    <row r="150" spans="1:10">
      <c r="A150" s="7">
        <f>所有指标!A154</f>
        <v>45018</v>
      </c>
      <c r="B150">
        <f>所有指标!M154</f>
        <v>13.3424997329712</v>
      </c>
      <c r="C150">
        <f>所有指标!O154</f>
        <v>1.3417999744415301</v>
      </c>
      <c r="D150">
        <f>1/B150-所有指标!B154/100</f>
        <v>4.6420474424838015E-2</v>
      </c>
      <c r="E150">
        <v>0.49398518624641818</v>
      </c>
      <c r="F150">
        <v>0.23815201420000001</v>
      </c>
      <c r="G150">
        <v>0.45452744559501029</v>
      </c>
      <c r="H150">
        <f>所有指标!N154</f>
        <v>23.458400726318398</v>
      </c>
      <c r="I150">
        <f>所有指标!P154</f>
        <v>3.9475998878478999</v>
      </c>
      <c r="J150">
        <f>1/H150-所有指标!E154/100</f>
        <v>7.8286519557184547E-3</v>
      </c>
    </row>
    <row r="151" spans="1:10">
      <c r="A151" s="7">
        <f>所有指标!A155</f>
        <v>45011</v>
      </c>
      <c r="B151">
        <f>所有指标!M155</f>
        <v>13.315600395202599</v>
      </c>
      <c r="C151">
        <f>所有指标!O155</f>
        <v>1.3537000417709399</v>
      </c>
      <c r="D151">
        <f>1/B151-所有指标!B155/100</f>
        <v>4.642388061524317E-2</v>
      </c>
      <c r="E151">
        <v>0.49513505973295852</v>
      </c>
      <c r="F151">
        <v>0.24052895320000001</v>
      </c>
      <c r="G151">
        <v>0.45027559267438338</v>
      </c>
      <c r="H151">
        <f>所有指标!N155</f>
        <v>22.717699050903299</v>
      </c>
      <c r="I151">
        <f>所有指标!P155</f>
        <v>3.8306999206543</v>
      </c>
      <c r="J151">
        <f>1/H151-所有指标!E155/100</f>
        <v>1.0218542448304779E-2</v>
      </c>
    </row>
    <row r="152" spans="1:10">
      <c r="A152" s="7">
        <f>所有指标!A156</f>
        <v>45004</v>
      </c>
      <c r="B152">
        <f>所有指标!M156</f>
        <v>13.322600364685099</v>
      </c>
      <c r="C152">
        <f>所有指标!O156</f>
        <v>1.3553999662399301</v>
      </c>
      <c r="D152">
        <f>1/B152-所有指标!B156/100</f>
        <v>4.6458421586370729E-2</v>
      </c>
      <c r="E152">
        <v>0.43308747514910539</v>
      </c>
      <c r="F152">
        <v>0.24840075740000001</v>
      </c>
      <c r="G152">
        <v>0.42954735718213788</v>
      </c>
      <c r="H152">
        <f>所有指标!N156</f>
        <v>22.4002990722656</v>
      </c>
      <c r="I152">
        <f>所有指标!P156</f>
        <v>3.7690000534057599</v>
      </c>
      <c r="J152">
        <f>1/H152-所有指标!E156/100</f>
        <v>1.0742261104367413E-2</v>
      </c>
    </row>
    <row r="153" spans="1:10">
      <c r="A153" s="7">
        <f>所有指标!A157</f>
        <v>44997</v>
      </c>
      <c r="B153">
        <f>所有指标!M157</f>
        <v>13.1051998138428</v>
      </c>
      <c r="C153">
        <f>所有指标!O157</f>
        <v>1.33910000324249</v>
      </c>
      <c r="D153">
        <f>1/B153-所有指标!B157/100</f>
        <v>4.7678589705218918E-2</v>
      </c>
      <c r="E153">
        <v>0.3678401299218661</v>
      </c>
      <c r="F153">
        <v>0.24922457044999999</v>
      </c>
      <c r="G153">
        <v>0.41089998138562311</v>
      </c>
      <c r="H153">
        <f>所有指标!N157</f>
        <v>21.947900772094702</v>
      </c>
      <c r="I153">
        <f>所有指标!P157</f>
        <v>3.6907999515533398</v>
      </c>
      <c r="J153">
        <f>1/H153-所有指标!E157/100</f>
        <v>8.5624440070110677E-3</v>
      </c>
    </row>
    <row r="154" spans="1:10">
      <c r="A154" s="7">
        <f>所有指标!A158</f>
        <v>44990</v>
      </c>
      <c r="B154">
        <f>所有指标!M158</f>
        <v>13.4858999252319</v>
      </c>
      <c r="C154">
        <f>所有指标!O158</f>
        <v>1.3769999742507899</v>
      </c>
      <c r="D154">
        <f>1/B154-所有指标!B158/100</f>
        <v>4.5125521629566318E-2</v>
      </c>
      <c r="E154">
        <v>0.31960757600516798</v>
      </c>
      <c r="F154">
        <v>0.27463542014999998</v>
      </c>
      <c r="G154">
        <v>0.40659777907454819</v>
      </c>
      <c r="H154">
        <f>所有指标!N158</f>
        <v>22.975700378418001</v>
      </c>
      <c r="I154">
        <f>所有指标!P158</f>
        <v>3.8657000064849898</v>
      </c>
      <c r="J154">
        <f>1/H154-所有指标!E158/100</f>
        <v>3.824244463918075E-3</v>
      </c>
    </row>
    <row r="155" spans="1:10">
      <c r="A155" s="7">
        <f>所有指标!A159</f>
        <v>44983</v>
      </c>
      <c r="B155">
        <f>所有指标!M159</f>
        <v>13.1553001403809</v>
      </c>
      <c r="C155">
        <f>所有指标!O159</f>
        <v>1.3459000587463399</v>
      </c>
      <c r="D155">
        <f>1/B155-所有指标!B159/100</f>
        <v>4.688898934489881E-2</v>
      </c>
      <c r="E155">
        <v>0.30495482688630599</v>
      </c>
      <c r="F155">
        <v>0.29363271595000001</v>
      </c>
      <c r="G155">
        <v>0.40814011800043509</v>
      </c>
      <c r="H155">
        <f>所有指标!N159</f>
        <v>22.25950050354</v>
      </c>
      <c r="I155">
        <f>所有指标!P159</f>
        <v>3.79830002784729</v>
      </c>
      <c r="J155">
        <f>1/H155-所有指标!E159/100</f>
        <v>5.4246379019586149E-3</v>
      </c>
    </row>
    <row r="156" spans="1:10">
      <c r="A156" s="7"/>
    </row>
    <row r="157" spans="1:10">
      <c r="A157" s="7"/>
    </row>
    <row r="158" spans="1:10">
      <c r="A158" s="7"/>
    </row>
  </sheetData>
  <mergeCells count="3">
    <mergeCell ref="B1:D1"/>
    <mergeCell ref="H1:J1"/>
    <mergeCell ref="E1:G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2623-8B18-4018-B030-6DB83D29864A}">
  <sheetPr codeName="Sheet5"/>
  <dimension ref="A1:J158"/>
  <sheetViews>
    <sheetView workbookViewId="0">
      <selection activeCell="I10" sqref="I10"/>
    </sheetView>
  </sheetViews>
  <sheetFormatPr baseColWidth="10" defaultColWidth="8.83203125" defaultRowHeight="15"/>
  <cols>
    <col min="1" max="1" width="12.33203125" bestFit="1" customWidth="1"/>
  </cols>
  <sheetData>
    <row r="1" spans="1:10">
      <c r="B1" s="26" t="s">
        <v>61</v>
      </c>
      <c r="C1" s="26"/>
      <c r="D1" s="26"/>
      <c r="E1" s="26" t="s">
        <v>64</v>
      </c>
      <c r="F1" s="26"/>
      <c r="G1" s="26"/>
      <c r="H1" s="26" t="s">
        <v>62</v>
      </c>
      <c r="I1" s="26"/>
      <c r="J1" s="26"/>
    </row>
    <row r="2" spans="1:10">
      <c r="A2" t="s">
        <v>54</v>
      </c>
      <c r="B2" t="s">
        <v>15</v>
      </c>
      <c r="C2" t="s">
        <v>10</v>
      </c>
      <c r="D2" t="s">
        <v>11</v>
      </c>
      <c r="E2" t="s">
        <v>15</v>
      </c>
      <c r="F2" t="s">
        <v>10</v>
      </c>
      <c r="G2" t="s">
        <v>11</v>
      </c>
      <c r="H2" t="s">
        <v>15</v>
      </c>
      <c r="I2" t="s">
        <v>63</v>
      </c>
      <c r="J2" t="s">
        <v>16</v>
      </c>
    </row>
    <row r="3" spans="1:10">
      <c r="A3" s="7">
        <f>所有指标!A7</f>
        <v>46047</v>
      </c>
      <c r="B3">
        <f>所有指标!C7</f>
        <v>1.9735</v>
      </c>
      <c r="C3">
        <f>(所有指标!C7-所有指标!B7)*100</f>
        <v>14.369999999999994</v>
      </c>
      <c r="D3">
        <f>(所有指标!C7-所有指标!F7)*100</f>
        <v>39.76</v>
      </c>
      <c r="E3">
        <f>所有指标!D7</f>
        <v>1.7741</v>
      </c>
      <c r="F3">
        <f>(所有指标!D7-所有指标!I7)*100</f>
        <v>37.820000000000007</v>
      </c>
      <c r="G3">
        <f>(所有指标!D7-所有指标!G7)*100</f>
        <v>10.20000000000001</v>
      </c>
      <c r="H3">
        <f>所有指标!E7</f>
        <v>4.24</v>
      </c>
      <c r="I3" s="8">
        <f>(所有指标!E7-所有指标!H7)*100</f>
        <v>71.000000000000043</v>
      </c>
      <c r="J3">
        <f>所有指标!T7</f>
        <v>16.09</v>
      </c>
    </row>
    <row r="4" spans="1:10">
      <c r="A4" s="7">
        <f>所有指标!A8</f>
        <v>46040</v>
      </c>
      <c r="B4">
        <f>所有指标!C8</f>
        <v>2.0152000000000001</v>
      </c>
      <c r="C4">
        <f>(所有指标!C8-所有指标!B8)*100</f>
        <v>17.280000000000008</v>
      </c>
      <c r="D4">
        <f>(所有指标!C8-所有指标!F8)*100</f>
        <v>42.1</v>
      </c>
      <c r="E4">
        <f>所有指标!D8</f>
        <v>1.7915000000000001</v>
      </c>
      <c r="F4">
        <f>(所有指标!D8-所有指标!I8)*100</f>
        <v>38.72</v>
      </c>
      <c r="G4">
        <f>(所有指标!D8-所有指标!G8)*100</f>
        <v>9.2899999999999991</v>
      </c>
      <c r="H4">
        <f>所有指标!E8</f>
        <v>4.24</v>
      </c>
      <c r="I4" s="8">
        <f>(所有指标!E8-所有指标!H8)*100</f>
        <v>69.000000000000043</v>
      </c>
      <c r="J4">
        <f>所有指标!T8</f>
        <v>15.86</v>
      </c>
    </row>
    <row r="5" spans="1:10">
      <c r="A5" s="7">
        <f>所有指标!A9</f>
        <v>46033</v>
      </c>
      <c r="B5">
        <f>所有指标!C9</f>
        <v>2.0287000000000002</v>
      </c>
      <c r="C5">
        <f>(所有指标!C9-所有指标!B9)*100</f>
        <v>15.050000000000008</v>
      </c>
      <c r="D5">
        <f>(所有指标!C9-所有指标!F9)*100</f>
        <v>45.080000000000013</v>
      </c>
      <c r="E5">
        <f>所有指标!D9</f>
        <v>1.8057000000000001</v>
      </c>
      <c r="F5">
        <f>(所有指标!D9-所有指标!I9)*100</f>
        <v>36.950000000000017</v>
      </c>
      <c r="G5">
        <f>(所有指标!D9-所有指标!G9)*100</f>
        <v>11.190000000000012</v>
      </c>
      <c r="H5">
        <f>所有指标!E9</f>
        <v>4.18</v>
      </c>
      <c r="I5" s="8">
        <f>(所有指标!E9-所有指标!H9)*100</f>
        <v>65.999999999999972</v>
      </c>
      <c r="J5">
        <f>所有指标!T9</f>
        <v>14.49</v>
      </c>
    </row>
    <row r="6" spans="1:10">
      <c r="A6" s="7">
        <f>所有指标!A10</f>
        <v>46026</v>
      </c>
      <c r="B6">
        <f>所有指标!C10</f>
        <v>1.9862</v>
      </c>
      <c r="C6">
        <f>(所有指标!C10-所有指标!B10)*100</f>
        <v>14.349999999999996</v>
      </c>
      <c r="D6">
        <f>(所有指标!C10-所有指标!F10)*100</f>
        <v>43.37</v>
      </c>
      <c r="E6">
        <f>所有指标!D10</f>
        <v>1.7839</v>
      </c>
      <c r="F6">
        <f>(所有指标!D10-所有指标!I10)*100</f>
        <v>43.169999999999995</v>
      </c>
      <c r="G6">
        <f>(所有指标!D10-所有指标!G10)*100</f>
        <v>9.519999999999996</v>
      </c>
      <c r="H6">
        <f>所有指标!E10</f>
        <v>4.1900000000000004</v>
      </c>
      <c r="I6" s="8">
        <f>(所有指标!E10-所有指标!H10)*100</f>
        <v>72.000000000000014</v>
      </c>
      <c r="J6">
        <f>所有指标!T10</f>
        <v>14.51</v>
      </c>
    </row>
    <row r="7" spans="1:10">
      <c r="A7" s="7">
        <f>所有指标!A11</f>
        <v>46019</v>
      </c>
      <c r="B7">
        <f>所有指标!C11</f>
        <v>1.9817</v>
      </c>
      <c r="C7">
        <f>(所有指标!C11-所有指标!B11)*100</f>
        <v>14.410000000000011</v>
      </c>
      <c r="D7">
        <f>(所有指标!C11-所有指标!F11)*100</f>
        <v>45.419999999999995</v>
      </c>
      <c r="E7">
        <f>所有指标!D11</f>
        <v>1.8085</v>
      </c>
      <c r="F7">
        <f>(所有指标!D11-所有指标!I11)*100</f>
        <v>47.069999999999993</v>
      </c>
      <c r="G7">
        <f>(所有指标!D11-所有指标!G11)*100</f>
        <v>8.9599999999999902</v>
      </c>
      <c r="H7">
        <f>所有指标!E11</f>
        <v>4.1399999999999997</v>
      </c>
      <c r="I7" s="8">
        <f>(所有指标!E11-所有指标!H11)*100</f>
        <v>64.999999999999943</v>
      </c>
      <c r="J7">
        <f>所有指标!T11</f>
        <v>13.6</v>
      </c>
    </row>
    <row r="8" spans="1:10">
      <c r="A8" s="7">
        <f>所有指标!A12</f>
        <v>46012</v>
      </c>
      <c r="B8">
        <f>所有指标!C12</f>
        <v>1.9661999999999999</v>
      </c>
      <c r="C8">
        <f>(所有指标!C12-所有指标!B12)*100</f>
        <v>13.539999999999996</v>
      </c>
      <c r="D8">
        <f>(所有指标!C12-所有指标!F12)*100</f>
        <v>39.36999999999999</v>
      </c>
      <c r="E8">
        <f>所有指标!D12</f>
        <v>1.8306</v>
      </c>
      <c r="F8">
        <f>(所有指标!D12-所有指标!I12)*100</f>
        <v>45.540000000000006</v>
      </c>
      <c r="G8">
        <f>(所有指标!D12-所有指标!G12)*100</f>
        <v>11.159999999999993</v>
      </c>
      <c r="H8">
        <f>所有指标!E12</f>
        <v>4.16</v>
      </c>
      <c r="I8" s="8">
        <f>(所有指标!E12-所有指标!H12)*100</f>
        <v>65.000000000000028</v>
      </c>
      <c r="J8">
        <f>所有指标!T12</f>
        <v>14.91</v>
      </c>
    </row>
    <row r="9" spans="1:10">
      <c r="A9" s="7">
        <f>所有指标!A13</f>
        <v>46005</v>
      </c>
      <c r="B9">
        <f>所有指标!C13</f>
        <v>1.9886999999999999</v>
      </c>
      <c r="C9">
        <f>(所有指标!C13-所有指标!B13)*100</f>
        <v>14.91</v>
      </c>
      <c r="D9">
        <f>(所有指标!C13-所有指标!F13)*100</f>
        <v>37.9</v>
      </c>
      <c r="E9">
        <f>所有指标!D13</f>
        <v>1.8439000000000001</v>
      </c>
      <c r="F9">
        <f>(所有指标!D13-所有指标!I13)*100</f>
        <v>44.88000000000001</v>
      </c>
      <c r="G9">
        <f>(所有指标!D13-所有指标!G13)*100</f>
        <v>11.800000000000011</v>
      </c>
      <c r="H9">
        <f>所有指标!E13</f>
        <v>4.1900000000000004</v>
      </c>
      <c r="I9" s="8">
        <f>(所有指标!E13-所有指标!H13)*100</f>
        <v>65.000000000000028</v>
      </c>
      <c r="J9">
        <f>所有指标!T13</f>
        <v>15.74</v>
      </c>
    </row>
    <row r="10" spans="1:10">
      <c r="A10" s="7">
        <f>所有指标!A14</f>
        <v>45998</v>
      </c>
      <c r="B10">
        <f>所有指标!C14</f>
        <v>2.0062000000000002</v>
      </c>
      <c r="C10">
        <f>(所有指标!C14-所有指标!B14)*100</f>
        <v>15.820000000000011</v>
      </c>
      <c r="D10">
        <f>(所有指标!C14-所有指标!F14)*100</f>
        <v>37.660000000000025</v>
      </c>
      <c r="E10">
        <f>所有指标!D14</f>
        <v>1.8652</v>
      </c>
      <c r="F10">
        <f>(所有指标!D14-所有指标!I14)*100</f>
        <v>46.160000000000004</v>
      </c>
      <c r="G10">
        <f>(所有指标!D14-所有指标!G14)*100</f>
        <v>13.329999999999998</v>
      </c>
      <c r="H10">
        <f>所有指标!E14</f>
        <v>4.1399999999999997</v>
      </c>
      <c r="I10" s="8">
        <f>(所有指标!E14-所有指标!H14)*100</f>
        <v>52.999999999999979</v>
      </c>
      <c r="J10">
        <f>所有指标!T14</f>
        <v>15.41</v>
      </c>
    </row>
    <row r="11" spans="1:10">
      <c r="A11" s="7">
        <f>所有指标!A15</f>
        <v>45991</v>
      </c>
      <c r="B11">
        <f>所有指标!C15</f>
        <v>1.974</v>
      </c>
      <c r="C11">
        <f>(所有指标!C15-所有指标!B15)*100</f>
        <v>13.280000000000003</v>
      </c>
      <c r="D11">
        <f>(所有指标!C15-所有指标!F15)*100</f>
        <v>34.939999999999991</v>
      </c>
      <c r="E11">
        <f>所有指标!D15</f>
        <v>1.8395999999999999</v>
      </c>
      <c r="F11">
        <f>(所有指标!D15-所有指标!I15)*100</f>
        <v>42.13</v>
      </c>
      <c r="G11">
        <f>(所有指标!D15-所有指标!G15)*100</f>
        <v>11.899999999999999</v>
      </c>
      <c r="H11">
        <f>所有指标!E15</f>
        <v>4.0199999999999996</v>
      </c>
      <c r="I11" s="8">
        <f>(所有指标!E15-所有指标!H15)*100</f>
        <v>40.999999999999972</v>
      </c>
      <c r="J11">
        <f>所有指标!T15</f>
        <v>16.350000000000001</v>
      </c>
    </row>
    <row r="12" spans="1:10">
      <c r="A12" s="7">
        <f>所有指标!A16</f>
        <v>45984</v>
      </c>
      <c r="B12">
        <f>所有指标!C16</f>
        <v>1.9415</v>
      </c>
      <c r="C12">
        <f>(所有指标!C16-所有指标!B16)*100</f>
        <v>12.490000000000002</v>
      </c>
      <c r="D12">
        <f>(所有指标!C16-所有指标!F16)*100</f>
        <v>32.24</v>
      </c>
      <c r="E12">
        <f>所有指标!D16</f>
        <v>1.8003</v>
      </c>
      <c r="F12">
        <f>(所有指标!D16-所有指标!I16)*100</f>
        <v>37.000000000000014</v>
      </c>
      <c r="G12">
        <f>(所有指标!D16-所有指标!G16)*100</f>
        <v>10.509999999999998</v>
      </c>
      <c r="H12">
        <f>所有指标!E16</f>
        <v>4.0599999999999996</v>
      </c>
      <c r="I12" s="8">
        <f>(所有指标!E16-所有指标!H16)*100</f>
        <v>43.99999999999995</v>
      </c>
      <c r="J12">
        <f>所有指标!T16</f>
        <v>23.43</v>
      </c>
    </row>
    <row r="13" spans="1:10">
      <c r="A13" s="7">
        <f>所有指标!A17</f>
        <v>45977</v>
      </c>
      <c r="B13">
        <f>所有指标!C17</f>
        <v>1.9371</v>
      </c>
      <c r="C13">
        <f>(所有指标!C17-所有指标!B17)*100</f>
        <v>12.309999999999999</v>
      </c>
      <c r="D13">
        <f>(所有指标!C17-所有指标!F17)*100</f>
        <v>32.499999999999993</v>
      </c>
      <c r="E13">
        <f>所有指标!D17</f>
        <v>1.8008999999999999</v>
      </c>
      <c r="F13">
        <f>(所有指标!D17-所有指标!I17)*100</f>
        <v>36.969999999999992</v>
      </c>
      <c r="G13">
        <f>(所有指标!D17-所有指标!G17)*100</f>
        <v>10.169999999999991</v>
      </c>
      <c r="H13">
        <f>所有指标!E17</f>
        <v>4.1399999999999997</v>
      </c>
      <c r="I13" s="8">
        <f>(所有指标!E17-所有指标!H17)*100</f>
        <v>43.99999999999995</v>
      </c>
      <c r="J13">
        <f>所有指标!T17</f>
        <v>19.829999999999998</v>
      </c>
    </row>
    <row r="14" spans="1:10">
      <c r="A14" s="7">
        <f>所有指标!A18</f>
        <v>45970</v>
      </c>
      <c r="B14">
        <f>所有指标!C18</f>
        <v>1.9489000000000001</v>
      </c>
      <c r="C14">
        <f>(所有指标!C18-所有指标!B18)*100</f>
        <v>13.470000000000004</v>
      </c>
      <c r="D14">
        <f>(所有指标!C18-所有指标!F18)*100</f>
        <v>33.68</v>
      </c>
      <c r="E14">
        <f>所有指标!D18</f>
        <v>1.7915000000000001</v>
      </c>
      <c r="F14">
        <f>(所有指标!D18-所有指标!I18)*100</f>
        <v>35.780000000000015</v>
      </c>
      <c r="G14">
        <f>(所有指标!D18-所有指标!G18)*100</f>
        <v>9.0900000000000212</v>
      </c>
      <c r="H14">
        <f>所有指标!E18</f>
        <v>4.1100000000000003</v>
      </c>
      <c r="I14" s="8">
        <f>(所有指标!E18-所有指标!H18)*100</f>
        <v>48.000000000000043</v>
      </c>
      <c r="J14">
        <f>所有指标!T18</f>
        <v>19.079999999999998</v>
      </c>
    </row>
    <row r="15" spans="1:10">
      <c r="A15" s="7">
        <f>所有指标!A19</f>
        <v>45963</v>
      </c>
      <c r="B15">
        <f>所有指标!C19</f>
        <v>1.9254</v>
      </c>
      <c r="C15">
        <f>(所有指标!C19-所有指标!B19)*100</f>
        <v>12.999999999999989</v>
      </c>
      <c r="D15">
        <f>(所有指标!C19-所有指标!F19)*100</f>
        <v>33.840000000000003</v>
      </c>
      <c r="E15">
        <f>所有指标!D19</f>
        <v>1.7687999999999999</v>
      </c>
      <c r="F15">
        <f>(所有指标!D19-所有指标!I19)*100</f>
        <v>36.660000000000004</v>
      </c>
      <c r="G15">
        <f>(所有指标!D19-所有指标!G19)*100</f>
        <v>8.0300000000000047</v>
      </c>
      <c r="H15">
        <f>所有指标!E19</f>
        <v>4.1100000000000003</v>
      </c>
      <c r="I15" s="8">
        <f>(所有指标!E19-所有指标!H19)*100</f>
        <v>41.000000000000014</v>
      </c>
      <c r="J15">
        <f>所有指标!T19</f>
        <v>17.440000000000001</v>
      </c>
    </row>
    <row r="16" spans="1:10">
      <c r="A16" s="7">
        <f>所有指标!A20</f>
        <v>45956</v>
      </c>
      <c r="B16">
        <f>所有指标!C20</f>
        <v>2.0013000000000001</v>
      </c>
      <c r="C16">
        <f>(所有指标!C20-所有指标!B20)*100</f>
        <v>15.270000000000007</v>
      </c>
      <c r="D16">
        <f>(所有指标!C20-所有指标!F20)*100</f>
        <v>35.930000000000021</v>
      </c>
      <c r="E16">
        <f>所有指标!D20</f>
        <v>1.8404</v>
      </c>
      <c r="F16">
        <f>(所有指标!D20-所有指标!I20)*100</f>
        <v>34.810000000000009</v>
      </c>
      <c r="G16">
        <f>(所有指标!D20-所有指标!G20)*100</f>
        <v>13.52</v>
      </c>
      <c r="H16">
        <f>所有指标!E20</f>
        <v>4.0199999999999996</v>
      </c>
      <c r="I16" s="8">
        <f>(所有指标!E20-所有指标!H20)*100</f>
        <v>43.99999999999995</v>
      </c>
      <c r="J16">
        <f>所有指标!T20</f>
        <v>16.37</v>
      </c>
    </row>
    <row r="17" spans="1:10">
      <c r="A17" s="7">
        <f>所有指标!A21</f>
        <v>45949</v>
      </c>
      <c r="B17">
        <f>所有指标!C21</f>
        <v>1.9903999999999999</v>
      </c>
      <c r="C17">
        <f>(所有指标!C21-所有指标!B21)*100</f>
        <v>16.579999999999995</v>
      </c>
      <c r="D17">
        <f>(所有指标!C21-所有指标!F21)*100</f>
        <v>36.539999999999992</v>
      </c>
      <c r="E17">
        <f>所有指标!D21</f>
        <v>1.8512</v>
      </c>
      <c r="F17">
        <f>(所有指标!D21-所有指标!I21)*100</f>
        <v>35.72</v>
      </c>
      <c r="G17">
        <f>(所有指标!D21-所有指标!G21)*100</f>
        <v>12.579999999999991</v>
      </c>
      <c r="H17">
        <f>所有指标!E21</f>
        <v>4.0199999999999996</v>
      </c>
      <c r="I17" s="8">
        <f>(所有指标!E21-所有指标!H21)*100</f>
        <v>45.99999999999995</v>
      </c>
      <c r="J17">
        <f>所有指标!T21</f>
        <v>20.78</v>
      </c>
    </row>
    <row r="18" spans="1:10">
      <c r="A18" s="7">
        <f>所有指标!A22</f>
        <v>45942</v>
      </c>
      <c r="B18">
        <f>所有指标!C22</f>
        <v>1.9994000000000001</v>
      </c>
      <c r="C18">
        <f>(所有指标!C22-所有指标!B22)*100</f>
        <v>17.880000000000006</v>
      </c>
      <c r="D18">
        <f>(所有指标!C22-所有指标!F22)*100</f>
        <v>38.860000000000007</v>
      </c>
      <c r="E18">
        <f>所有指标!D22</f>
        <v>1.873</v>
      </c>
      <c r="F18">
        <f>(所有指标!D22-所有指标!I22)*100</f>
        <v>39.080000000000005</v>
      </c>
      <c r="G18">
        <f>(所有指标!D22-所有指标!G22)*100</f>
        <v>13.62000000000001</v>
      </c>
      <c r="H18">
        <f>所有指标!E22</f>
        <v>4.05</v>
      </c>
      <c r="I18" s="8">
        <f>(所有指标!E22-所有指标!H22)*100</f>
        <v>44.999999999999972</v>
      </c>
      <c r="J18">
        <f>所有指标!T22</f>
        <v>21.66</v>
      </c>
    </row>
    <row r="19" spans="1:10">
      <c r="A19" s="7">
        <f>所有指标!A23</f>
        <v>45935</v>
      </c>
      <c r="B19">
        <f>所有指标!C23</f>
        <v>2.0371999999999999</v>
      </c>
      <c r="C19">
        <f>(所有指标!C23-所有指标!B23)*100</f>
        <v>17.669999999999987</v>
      </c>
      <c r="D19">
        <f>(所有指标!C23-所有指标!F23)*100</f>
        <v>43.699999999999982</v>
      </c>
      <c r="E19">
        <f>所有指标!D23</f>
        <v>1.9028</v>
      </c>
      <c r="F19">
        <f>(所有指标!D23-所有指标!I23)*100</f>
        <v>40.94</v>
      </c>
      <c r="G19">
        <f>(所有指标!D23-所有指标!G23)*100</f>
        <v>12.860000000000005</v>
      </c>
      <c r="H19">
        <f>所有指标!E23</f>
        <v>4.13</v>
      </c>
      <c r="I19" s="8">
        <f>(所有指标!E23-所有指标!H23)*100</f>
        <v>48.999999999999979</v>
      </c>
      <c r="J19">
        <f>所有指标!T23</f>
        <v>16.649999999999999</v>
      </c>
    </row>
    <row r="20" spans="1:10">
      <c r="A20" s="7">
        <f>所有指标!A24</f>
        <v>45928</v>
      </c>
      <c r="B20">
        <f>所有指标!C24</f>
        <v>2.0419999999999998</v>
      </c>
      <c r="C20">
        <f>(所有指标!C24-所有指标!B24)*100</f>
        <v>16.389999999999972</v>
      </c>
      <c r="D20">
        <f>(所有指标!C24-所有指标!F24)*100</f>
        <v>41.879999999999981</v>
      </c>
      <c r="E20">
        <f>所有指标!D24</f>
        <v>1.9278</v>
      </c>
      <c r="F20">
        <f>(所有指标!D24-所有指标!I24)*100</f>
        <v>42.399999999999991</v>
      </c>
      <c r="G20">
        <f>(所有指标!D24-所有指标!G24)*100</f>
        <v>13.070000000000004</v>
      </c>
      <c r="H20">
        <f>所有指标!E24</f>
        <v>4.2</v>
      </c>
      <c r="I20" s="8">
        <f>(所有指标!E24-所有指标!H24)*100</f>
        <v>53.000000000000028</v>
      </c>
      <c r="J20">
        <f>所有指标!T24</f>
        <v>15.29</v>
      </c>
    </row>
    <row r="21" spans="1:10">
      <c r="A21" s="7">
        <f>所有指标!A25</f>
        <v>45921</v>
      </c>
      <c r="B21">
        <f>所有指标!C25</f>
        <v>2.0268000000000002</v>
      </c>
      <c r="C21">
        <f>(所有指标!C25-所有指标!B25)*100</f>
        <v>14.790000000000013</v>
      </c>
      <c r="D21">
        <f>(所有指标!C25-所有指标!F25)*100</f>
        <v>40.040000000000006</v>
      </c>
      <c r="E21">
        <f>所有指标!D25</f>
        <v>1.8648</v>
      </c>
      <c r="F21">
        <f>(所有指标!D25-所有指标!I25)*100</f>
        <v>37.89</v>
      </c>
      <c r="G21">
        <f>(所有指标!D25-所有指标!G25)*100</f>
        <v>10.440000000000005</v>
      </c>
      <c r="H21">
        <f>所有指标!E25</f>
        <v>4.1399999999999997</v>
      </c>
      <c r="I21" s="8">
        <f>(所有指标!E25-所有指标!H25)*100</f>
        <v>53.999999999999957</v>
      </c>
      <c r="J21">
        <f>所有指标!T25</f>
        <v>15.45</v>
      </c>
    </row>
    <row r="22" spans="1:10">
      <c r="A22" s="7">
        <f>所有指标!A26</f>
        <v>45914</v>
      </c>
      <c r="B22">
        <f>所有指标!C26</f>
        <v>2.0284</v>
      </c>
      <c r="C22">
        <f>(所有指标!C26-所有指标!B26)*100</f>
        <v>16.14</v>
      </c>
      <c r="D22">
        <f>(所有指标!C26-所有指标!F26)*100</f>
        <v>45.039999999999992</v>
      </c>
      <c r="E22">
        <f>所有指标!D26</f>
        <v>1.8496999999999999</v>
      </c>
      <c r="F22">
        <f>(所有指标!D26-所有指标!I26)*100</f>
        <v>42.019999999999989</v>
      </c>
      <c r="G22">
        <f>(所有指标!D26-所有指标!G26)*100</f>
        <v>10.609999999999985</v>
      </c>
      <c r="H22">
        <f>所有指标!E26</f>
        <v>4.0599999999999996</v>
      </c>
      <c r="I22" s="8">
        <f>(所有指标!E26-所有指标!H26)*100</f>
        <v>39.999999999999943</v>
      </c>
      <c r="J22">
        <f>所有指标!T26</f>
        <v>14.76</v>
      </c>
    </row>
    <row r="23" spans="1:10">
      <c r="A23" s="7">
        <f>所有指标!A27</f>
        <v>45907</v>
      </c>
      <c r="B23">
        <f>所有指标!C27</f>
        <v>1.8731</v>
      </c>
      <c r="C23">
        <f>(所有指标!C27-所有指标!B27)*100</f>
        <v>4.709999999999992</v>
      </c>
      <c r="D23">
        <f>(所有指标!C27-所有指标!F27)*100</f>
        <v>33.159999999999989</v>
      </c>
      <c r="E23">
        <f>所有指标!D27</f>
        <v>1.8019000000000001</v>
      </c>
      <c r="F23">
        <f>(所有指标!D27-所有指标!I27)*100</f>
        <v>39.380000000000017</v>
      </c>
      <c r="G23">
        <f>(所有指标!D27-所有指标!G27)*100</f>
        <v>9.6700000000000017</v>
      </c>
      <c r="H23">
        <f>所有指标!E27</f>
        <v>4.0999999999999996</v>
      </c>
      <c r="I23" s="8">
        <f>(所有指标!E27-所有指标!H27)*100</f>
        <v>44.999999999999972</v>
      </c>
      <c r="J23">
        <f>所有指标!T27</f>
        <v>15.18</v>
      </c>
    </row>
    <row r="24" spans="1:10">
      <c r="A24" s="7">
        <f>所有指标!A28</f>
        <v>45900</v>
      </c>
      <c r="B24">
        <f>所有指标!C28</f>
        <v>1.8755999999999999</v>
      </c>
      <c r="C24">
        <f>(所有指标!C28-所有指标!B28)*100</f>
        <v>3.7699999999999845</v>
      </c>
      <c r="D24">
        <f>(所有指标!C28-所有指标!F28)*100</f>
        <v>34.099999999999994</v>
      </c>
      <c r="E24">
        <f>所有指标!D28</f>
        <v>1.8243</v>
      </c>
      <c r="F24">
        <f>(所有指标!D28-所有指标!I28)*100</f>
        <v>42.010000000000012</v>
      </c>
      <c r="G24">
        <f>(所有指标!D28-所有指标!G28)*100</f>
        <v>13.02000000000001</v>
      </c>
      <c r="H24">
        <f>所有指标!E28</f>
        <v>4.2300000000000004</v>
      </c>
      <c r="I24" s="8">
        <f>(所有指标!E28-所有指标!H28)*100</f>
        <v>40.000000000000036</v>
      </c>
      <c r="J24">
        <f>所有指标!T28</f>
        <v>15.36</v>
      </c>
    </row>
    <row r="25" spans="1:10">
      <c r="A25" s="7">
        <f>所有指标!A29</f>
        <v>45893</v>
      </c>
      <c r="B25">
        <f>所有指标!C29</f>
        <v>1.8781000000000001</v>
      </c>
      <c r="C25">
        <f>(所有指标!C29-所有指标!B29)*100</f>
        <v>9.6300000000000061</v>
      </c>
      <c r="D25">
        <f>(所有指标!C29-所有指标!F29)*100</f>
        <v>31.260000000000019</v>
      </c>
      <c r="E25">
        <f>所有指标!D29</f>
        <v>1.8654999999999999</v>
      </c>
      <c r="F25">
        <f>(所有指标!D29-所有指标!I29)*100</f>
        <v>43.14</v>
      </c>
      <c r="G25">
        <f>(所有指标!D29-所有指标!G29)*100</f>
        <v>12.749999999999995</v>
      </c>
      <c r="H25">
        <f>所有指标!E29</f>
        <v>4.26</v>
      </c>
      <c r="I25" s="8">
        <f>(所有指标!E29-所有指标!H29)*100</f>
        <v>38.999999999999972</v>
      </c>
      <c r="J25">
        <f>所有指标!T29</f>
        <v>14.22</v>
      </c>
    </row>
    <row r="26" spans="1:10">
      <c r="A26" s="7">
        <f>所有指标!A30</f>
        <v>45886</v>
      </c>
      <c r="B26">
        <f>所有指标!C30</f>
        <v>1.8557999999999999</v>
      </c>
      <c r="C26">
        <f>(所有指标!C30-所有指标!B30)*100</f>
        <v>10.929999999999996</v>
      </c>
      <c r="D26">
        <f>(所有指标!C30-所有指标!F30)*100</f>
        <v>32.999999999999986</v>
      </c>
      <c r="E26">
        <f>所有指标!D30</f>
        <v>1.7994000000000001</v>
      </c>
      <c r="F26">
        <f>(所有指标!D30-所有指标!I30)*100</f>
        <v>39.730000000000018</v>
      </c>
      <c r="G26">
        <f>(所有指标!D30-所有指标!G30)*100</f>
        <v>11.000000000000011</v>
      </c>
      <c r="H26">
        <f>所有指标!E30</f>
        <v>4.33</v>
      </c>
      <c r="I26" s="8">
        <f>(所有指标!E30-所有指标!H30)*100</f>
        <v>39.999999999999993</v>
      </c>
      <c r="J26">
        <f>所有指标!T30</f>
        <v>15.09</v>
      </c>
    </row>
    <row r="27" spans="1:10">
      <c r="A27" s="7">
        <f>所有指标!A31</f>
        <v>45879</v>
      </c>
      <c r="B27">
        <f>所有指标!C31</f>
        <v>1.7783</v>
      </c>
      <c r="C27">
        <f>(所有指标!C31-所有指标!B31)*100</f>
        <v>8.9199999999999946</v>
      </c>
      <c r="D27">
        <f>(所有指标!C31-所有指标!F31)*100</f>
        <v>28.31999999999999</v>
      </c>
      <c r="E27">
        <f>所有指标!D31</f>
        <v>1.7637</v>
      </c>
      <c r="F27">
        <f>(所有指标!D31-所有指标!I31)*100</f>
        <v>36.810000000000009</v>
      </c>
      <c r="G27">
        <f>(所有指标!D31-所有指标!G31)*100</f>
        <v>9.3500000000000139</v>
      </c>
      <c r="H27">
        <f>所有指标!E31</f>
        <v>4.2699999999999996</v>
      </c>
      <c r="I27" s="8">
        <f>(所有指标!E31-所有指标!H31)*100</f>
        <v>33.999999999999943</v>
      </c>
      <c r="J27">
        <f>所有指标!T31</f>
        <v>15.15</v>
      </c>
    </row>
    <row r="28" spans="1:10">
      <c r="A28" s="7">
        <f>所有指标!A32</f>
        <v>45872</v>
      </c>
      <c r="B28">
        <f>所有指标!C32</f>
        <v>1.7612000000000001</v>
      </c>
      <c r="C28">
        <f>(所有指标!C32-所有指标!B32)*100</f>
        <v>5.5300000000000127</v>
      </c>
      <c r="D28">
        <f>(所有指标!C32-所有指标!F32)*100</f>
        <v>26.450000000000017</v>
      </c>
      <c r="E28">
        <f>所有指标!D32</f>
        <v>1.7975000000000001</v>
      </c>
      <c r="F28">
        <f>(所有指标!D32-所有指标!I32)*100</f>
        <v>37.170000000000016</v>
      </c>
      <c r="G28">
        <f>(所有指标!D32-所有指标!G32)*100</f>
        <v>9.7600000000000122</v>
      </c>
      <c r="H28">
        <f>所有指标!E32</f>
        <v>4.2300000000000004</v>
      </c>
      <c r="I28" s="8">
        <f>(所有指标!E32-所有指标!H32)*100</f>
        <v>36.000000000000028</v>
      </c>
      <c r="J28">
        <f>所有指标!T32</f>
        <v>20.38</v>
      </c>
    </row>
    <row r="29" spans="1:10">
      <c r="A29" s="7">
        <f>所有指标!A33</f>
        <v>45865</v>
      </c>
      <c r="B29">
        <f>所有指标!C33</f>
        <v>1.8076000000000001</v>
      </c>
      <c r="C29">
        <f>(所有指标!C33-所有指标!B33)*100</f>
        <v>7.5200000000000156</v>
      </c>
      <c r="D29">
        <f>(所有指标!C33-所有指标!F33)*100</f>
        <v>28.570000000000007</v>
      </c>
      <c r="E29">
        <f>所有指标!D33</f>
        <v>1.8471</v>
      </c>
      <c r="F29">
        <f>(所有指标!D33-所有指标!I33)*100</f>
        <v>41.16</v>
      </c>
      <c r="G29">
        <f>(所有指标!D33-所有指标!G33)*100</f>
        <v>10.579999999999989</v>
      </c>
      <c r="H29">
        <f>所有指标!E33</f>
        <v>4.4000000000000004</v>
      </c>
      <c r="I29" s="8">
        <f>(所有指标!E33-所有指标!H33)*100</f>
        <v>31.00000000000005</v>
      </c>
      <c r="J29">
        <f>所有指标!T33</f>
        <v>14.93</v>
      </c>
    </row>
    <row r="30" spans="1:10">
      <c r="A30" s="7">
        <f>所有指标!A34</f>
        <v>45858</v>
      </c>
      <c r="B30">
        <f>所有指标!C34</f>
        <v>1.7171000000000001</v>
      </c>
      <c r="C30">
        <f>(所有指标!C34-所有指标!B34)*100</f>
        <v>5.1900000000000057</v>
      </c>
      <c r="D30">
        <f>(所有指标!C34-所有指标!F34)*100</f>
        <v>23.819999999999997</v>
      </c>
      <c r="E30">
        <f>所有指标!D34</f>
        <v>1.7289000000000001</v>
      </c>
      <c r="F30">
        <f>(所有指标!D34-所有指标!I34)*100</f>
        <v>34.86</v>
      </c>
      <c r="G30">
        <f>(所有指标!D34-所有指标!G34)*100</f>
        <v>8.3700000000000117</v>
      </c>
      <c r="H30">
        <f>所有指标!E34</f>
        <v>4.4400000000000004</v>
      </c>
      <c r="I30" s="8">
        <f>(所有指标!E34-所有指标!H34)*100</f>
        <v>36.000000000000028</v>
      </c>
      <c r="J30">
        <f>所有指标!T34</f>
        <v>16.41</v>
      </c>
    </row>
    <row r="31" spans="1:10">
      <c r="A31" s="7">
        <f>所有指标!A35</f>
        <v>45851</v>
      </c>
      <c r="B31">
        <f>所有指标!C35</f>
        <v>1.7176</v>
      </c>
      <c r="C31">
        <f>(所有指标!C35-所有指标!B35)*100</f>
        <v>5.2300000000000013</v>
      </c>
      <c r="D31">
        <f>(所有指标!C35-所有指标!F35)*100</f>
        <v>22.300000000000008</v>
      </c>
      <c r="E31">
        <f>所有指标!D35</f>
        <v>1.7578</v>
      </c>
      <c r="F31">
        <f>(所有指标!D35-所有指标!I35)*100</f>
        <v>35.830000000000005</v>
      </c>
      <c r="G31">
        <f>(所有指标!D35-所有指标!G35)*100</f>
        <v>8.4500000000000028</v>
      </c>
      <c r="H31">
        <f>所有指标!E35</f>
        <v>4.43</v>
      </c>
      <c r="I31" s="8">
        <f>(所有指标!E35-所有指标!H35)*100</f>
        <v>33.999999999999986</v>
      </c>
      <c r="J31">
        <f>所有指标!T35</f>
        <v>16.399999999999999</v>
      </c>
    </row>
    <row r="32" spans="1:10">
      <c r="A32" s="7">
        <f>所有指标!A36</f>
        <v>45844</v>
      </c>
      <c r="B32">
        <f>所有指标!C36</f>
        <v>1.6850000000000001</v>
      </c>
      <c r="C32">
        <f>(所有指标!C36-所有指标!B36)*100</f>
        <v>4.170000000000007</v>
      </c>
      <c r="D32">
        <f>(所有指标!C36-所有指标!F36)*100</f>
        <v>23.900000000000009</v>
      </c>
      <c r="E32">
        <f>所有指标!D36</f>
        <v>1.7432000000000001</v>
      </c>
      <c r="F32">
        <f>(所有指标!D36-所有指标!I36)*100</f>
        <v>38.980000000000018</v>
      </c>
      <c r="G32">
        <f>(所有指标!D36-所有指标!G36)*100</f>
        <v>6.4100000000000046</v>
      </c>
      <c r="H32">
        <f>所有指标!E36</f>
        <v>4.3499999999999996</v>
      </c>
      <c r="I32" s="8">
        <f>(所有指标!E36-所有指标!H36)*100</f>
        <v>27.999999999999936</v>
      </c>
      <c r="J32">
        <f>所有指标!T36</f>
        <v>16.38</v>
      </c>
    </row>
    <row r="33" spans="1:10">
      <c r="A33" s="7">
        <f>所有指标!A37</f>
        <v>45837</v>
      </c>
      <c r="B33">
        <f>所有指标!C37</f>
        <v>1.6825000000000001</v>
      </c>
      <c r="C33">
        <f>(所有指标!C37-所有指标!B37)*100</f>
        <v>3.63</v>
      </c>
      <c r="D33">
        <f>(所有指标!C37-所有指标!F37)*100</f>
        <v>20.500000000000007</v>
      </c>
      <c r="E33">
        <f>所有指标!D37</f>
        <v>1.7917000000000001</v>
      </c>
      <c r="F33">
        <f>(所有指标!D37-所有指标!I37)*100</f>
        <v>43.120000000000005</v>
      </c>
      <c r="G33">
        <f>(所有指标!D37-所有指标!G37)*100</f>
        <v>9.1700000000000124</v>
      </c>
      <c r="H33">
        <f>所有指标!E37</f>
        <v>4.29</v>
      </c>
      <c r="I33" s="8">
        <f>(所有指标!E37-所有指标!H37)*100</f>
        <v>31.999999999999986</v>
      </c>
      <c r="J33">
        <f>所有指标!T37</f>
        <v>16.32</v>
      </c>
    </row>
    <row r="34" spans="1:10">
      <c r="A34" s="7">
        <f>所有指标!A38</f>
        <v>45830</v>
      </c>
      <c r="B34">
        <f>所有指标!C38</f>
        <v>1.677</v>
      </c>
      <c r="C34">
        <f>(所有指标!C38-所有指标!B38)*100</f>
        <v>3.74000000000001</v>
      </c>
      <c r="D34">
        <f>(所有指标!C38-所有指标!F38)*100</f>
        <v>19.199999999999996</v>
      </c>
      <c r="E34">
        <f>所有指标!D38</f>
        <v>1.7737000000000001</v>
      </c>
      <c r="F34">
        <f>(所有指标!D38-所有指标!I38)*100</f>
        <v>40.75</v>
      </c>
      <c r="G34">
        <f>(所有指标!D38-所有指标!G38)*100</f>
        <v>6.8500000000000005</v>
      </c>
      <c r="H34">
        <f>所有指标!E38</f>
        <v>4.38</v>
      </c>
      <c r="I34" s="8">
        <f>(所有指标!E38-所有指标!H38)*100</f>
        <v>30.999999999999961</v>
      </c>
      <c r="J34">
        <f>所有指标!T38</f>
        <v>20.62</v>
      </c>
    </row>
    <row r="35" spans="1:10">
      <c r="A35" s="7">
        <f>所有指标!A39</f>
        <v>45823</v>
      </c>
      <c r="B35">
        <f>所有指标!C39</f>
        <v>1.7032</v>
      </c>
      <c r="C35">
        <f>(所有指标!C39-所有指标!B39)*100</f>
        <v>5.9200000000000141</v>
      </c>
      <c r="D35">
        <f>(所有指标!C39-所有指标!F39)*100</f>
        <v>20.27000000000001</v>
      </c>
      <c r="E35">
        <f>所有指标!D39</f>
        <v>1.7743</v>
      </c>
      <c r="F35">
        <f>(所有指标!D39-所有指标!I39)*100</f>
        <v>36.11</v>
      </c>
      <c r="G35">
        <f>(所有指标!D39-所有指标!G39)*100</f>
        <v>4.5800000000000063</v>
      </c>
      <c r="H35">
        <f>所有指标!E39</f>
        <v>4.41</v>
      </c>
      <c r="I35" s="8">
        <f>(所有指标!E39-所有指标!H39)*100</f>
        <v>32.000000000000028</v>
      </c>
      <c r="J35">
        <f>所有指标!T39</f>
        <v>20.82</v>
      </c>
    </row>
    <row r="36" spans="1:10">
      <c r="A36" s="7">
        <f>所有指标!A40</f>
        <v>45816</v>
      </c>
      <c r="B36">
        <f>所有指标!C40</f>
        <v>1.6967000000000001</v>
      </c>
      <c r="C36">
        <f>(所有指标!C40-所有指标!B40)*100</f>
        <v>4.2000000000000037</v>
      </c>
      <c r="D36">
        <f>(所有指标!C40-所有指标!F40)*100</f>
        <v>19.170000000000019</v>
      </c>
      <c r="E36">
        <f>所有指标!D40</f>
        <v>1.8024</v>
      </c>
      <c r="F36">
        <f>(所有指标!D40-所有指标!I40)*100</f>
        <v>37.67</v>
      </c>
      <c r="G36">
        <f>(所有指标!D40-所有指标!G40)*100</f>
        <v>7.5199999999999934</v>
      </c>
      <c r="H36">
        <f>所有指标!E40</f>
        <v>4.51</v>
      </c>
      <c r="I36" s="8">
        <f>(所有指标!E40-所有指标!H40)*100</f>
        <v>37.000000000000014</v>
      </c>
      <c r="J36">
        <f>所有指标!T40</f>
        <v>16.77</v>
      </c>
    </row>
    <row r="37" spans="1:10">
      <c r="A37" s="7">
        <f>所有指标!A41</f>
        <v>45809</v>
      </c>
      <c r="B37">
        <f>所有指标!C41</f>
        <v>1.7090000000000001</v>
      </c>
      <c r="C37">
        <f>(所有指标!C41-所有指标!B41)*100</f>
        <v>3.7800000000000056</v>
      </c>
      <c r="D37">
        <f>(所有指标!C41-所有指标!F41)*100</f>
        <v>17.900000000000006</v>
      </c>
      <c r="E37">
        <f>所有指标!D41</f>
        <v>1.8080000000000001</v>
      </c>
      <c r="F37">
        <f>(所有指标!D41-所有指标!I41)*100</f>
        <v>34.630000000000003</v>
      </c>
      <c r="G37">
        <f>(所有指标!D41-所有指标!G41)*100</f>
        <v>8.5300000000000153</v>
      </c>
      <c r="H37">
        <f>所有指标!E41</f>
        <v>4.41</v>
      </c>
      <c r="I37" s="8">
        <f>(所有指标!E41-所有指标!H41)*100</f>
        <v>29.999999999999982</v>
      </c>
      <c r="J37">
        <f>所有指标!T41</f>
        <v>18.57</v>
      </c>
    </row>
    <row r="38" spans="1:10">
      <c r="A38" s="7">
        <f>所有指标!A42</f>
        <v>45802</v>
      </c>
      <c r="B38">
        <f>所有指标!C42</f>
        <v>1.7034</v>
      </c>
      <c r="C38">
        <f>(所有指标!C42-所有指标!B42)*100</f>
        <v>-1.7400000000000082</v>
      </c>
      <c r="D38">
        <f>(所有指标!C42-所有指标!F42)*100</f>
        <v>18.840000000000011</v>
      </c>
      <c r="E38">
        <f>所有指标!D42</f>
        <v>1.7948</v>
      </c>
      <c r="F38">
        <f>(所有指标!D42-所有指标!I42)*100</f>
        <v>32.010000000000005</v>
      </c>
      <c r="G38">
        <f>(所有指标!D42-所有指标!G42)*100</f>
        <v>11.060000000000002</v>
      </c>
      <c r="H38">
        <f>所有指标!E42</f>
        <v>4.51</v>
      </c>
      <c r="I38" s="8">
        <f>(所有指标!E42-所有指标!H42)*100</f>
        <v>35.999999999999943</v>
      </c>
      <c r="J38">
        <f>所有指标!T42</f>
        <v>22.29</v>
      </c>
    </row>
    <row r="39" spans="1:10">
      <c r="A39" s="7">
        <f>所有指标!A43</f>
        <v>45795</v>
      </c>
      <c r="B39">
        <f>所有指标!C43</f>
        <v>1.7133</v>
      </c>
      <c r="C39">
        <f>(所有指标!C43-所有指标!B43)*100</f>
        <v>3.400000000000003</v>
      </c>
      <c r="D39">
        <f>(所有指标!C43-所有指标!F43)*100</f>
        <v>20.809999999999995</v>
      </c>
      <c r="E39">
        <f>所有指标!D43</f>
        <v>1.7906</v>
      </c>
      <c r="F39">
        <f>(所有指标!D43-所有指标!I43)*100</f>
        <v>31.569999999999986</v>
      </c>
      <c r="G39">
        <f>(所有指标!D43-所有指标!G43)*100</f>
        <v>9.1899999999999871</v>
      </c>
      <c r="H39">
        <f>所有指标!E43</f>
        <v>4.43</v>
      </c>
      <c r="I39" s="8">
        <f>(所有指标!E43-所有指标!H43)*100</f>
        <v>29.999999999999982</v>
      </c>
      <c r="J39">
        <f>所有指标!T43</f>
        <v>17.239999999999998</v>
      </c>
    </row>
    <row r="40" spans="1:10">
      <c r="A40" s="7">
        <f>所有指标!A44</f>
        <v>45788</v>
      </c>
      <c r="B40">
        <f>所有指标!C44</f>
        <v>1.6641999999999999</v>
      </c>
      <c r="C40">
        <f>(所有指标!C44-所有指标!B44)*100</f>
        <v>2.9099999999999904</v>
      </c>
      <c r="D40">
        <f>(所有指标!C44-所有指标!F44)*100</f>
        <v>18.95</v>
      </c>
      <c r="E40">
        <f>所有指标!D44</f>
        <v>1.8084</v>
      </c>
      <c r="F40">
        <f>(所有指标!D44-所有指标!I44)*100</f>
        <v>37.880000000000003</v>
      </c>
      <c r="G40">
        <f>(所有指标!D44-所有指标!G44)*100</f>
        <v>7.46</v>
      </c>
      <c r="H40">
        <f>所有指标!E44</f>
        <v>4.37</v>
      </c>
      <c r="I40" s="8">
        <f>(所有指标!E44-所有指标!H44)*100</f>
        <v>32.000000000000028</v>
      </c>
      <c r="J40">
        <f>所有指标!T44</f>
        <v>21.9</v>
      </c>
    </row>
    <row r="41" spans="1:10">
      <c r="A41" s="7">
        <f>所有指标!A45</f>
        <v>45781</v>
      </c>
      <c r="B41">
        <f>所有指标!C45</f>
        <v>1.6591</v>
      </c>
      <c r="C41">
        <f>(所有指标!C45-所有指标!B45)*100</f>
        <v>3.4799999999999942</v>
      </c>
      <c r="D41">
        <f>(所有指标!C45-所有指标!F45)*100</f>
        <v>9.3499999999999908</v>
      </c>
      <c r="E41">
        <f>所有指标!D45</f>
        <v>1.8812</v>
      </c>
      <c r="F41">
        <f>(所有指标!D45-所有指标!I45)*100</f>
        <v>43.04999999999999</v>
      </c>
      <c r="G41">
        <f>(所有指标!D45-所有指标!G45)*100</f>
        <v>8.4600000000000009</v>
      </c>
      <c r="H41">
        <f>所有指标!E45</f>
        <v>4.33</v>
      </c>
      <c r="I41" s="8">
        <f>(所有指标!E45-所有指标!H45)*100</f>
        <v>33.000000000000007</v>
      </c>
      <c r="J41">
        <f>所有指标!T45</f>
        <v>22.68</v>
      </c>
    </row>
    <row r="42" spans="1:10">
      <c r="A42" s="7">
        <f>所有指标!A46</f>
        <v>45774</v>
      </c>
      <c r="B42">
        <f>所有指标!C46</f>
        <v>1.6951000000000001</v>
      </c>
      <c r="C42">
        <f>(所有指标!C46-所有指标!B46)*100</f>
        <v>3.4399999999999986</v>
      </c>
      <c r="D42">
        <f>(所有指标!C46-所有指标!F46)*100</f>
        <v>12.529999999999998</v>
      </c>
      <c r="E42">
        <f>所有指标!D46</f>
        <v>1.9237</v>
      </c>
      <c r="F42">
        <f>(所有指标!D46-所有指标!I46)*100</f>
        <v>44.490000000000009</v>
      </c>
      <c r="G42">
        <f>(所有指标!D46-所有指标!G46)*100</f>
        <v>10.899999999999999</v>
      </c>
      <c r="H42">
        <f>所有指标!E46</f>
        <v>4.29</v>
      </c>
      <c r="I42" s="8">
        <f>(所有指标!E46-所有指标!H46)*100</f>
        <v>33.999999999999986</v>
      </c>
      <c r="J42">
        <f>所有指标!T46</f>
        <v>24.84</v>
      </c>
    </row>
    <row r="43" spans="1:10">
      <c r="A43" s="7">
        <f>所有指标!A47</f>
        <v>45767</v>
      </c>
      <c r="B43">
        <f>所有指标!C47</f>
        <v>1.681</v>
      </c>
      <c r="C43">
        <f>(所有指标!C47-所有指标!B47)*100</f>
        <v>3.1700000000000061</v>
      </c>
      <c r="D43">
        <f>(所有指标!C47-所有指标!F47)*100</f>
        <v>11.070000000000002</v>
      </c>
      <c r="E43">
        <f>所有指标!D47</f>
        <v>1.8697999999999999</v>
      </c>
      <c r="F43">
        <f>(所有指标!D47-所有指标!I47)*100</f>
        <v>42.029999999999987</v>
      </c>
      <c r="G43">
        <f>(所有指标!D47-所有指标!G47)*100</f>
        <v>6.2799999999999967</v>
      </c>
      <c r="H43">
        <f>所有指标!E47</f>
        <v>4.34</v>
      </c>
      <c r="I43" s="8">
        <f>(所有指标!E47-所有指标!H47)*100</f>
        <v>34.999999999999964</v>
      </c>
      <c r="J43">
        <f>所有指标!T47</f>
        <v>29.65</v>
      </c>
    </row>
    <row r="44" spans="1:10">
      <c r="A44" s="7">
        <f>所有指标!A48</f>
        <v>45760</v>
      </c>
      <c r="B44">
        <f>所有指标!C48</f>
        <v>1.7</v>
      </c>
      <c r="C44">
        <f>(所有指标!C48-所有指标!B48)*100</f>
        <v>4.3199999999999905</v>
      </c>
      <c r="D44">
        <f>(所有指标!C48-所有指标!F48)*100</f>
        <v>14.490000000000002</v>
      </c>
      <c r="E44">
        <f>所有指标!D48</f>
        <v>1.8663000000000001</v>
      </c>
      <c r="F44">
        <f>(所有指标!D48-所有指标!I48)*100</f>
        <v>46.840000000000018</v>
      </c>
      <c r="G44">
        <f>(所有指标!D48-所有指标!G48)*100</f>
        <v>7.6200000000000045</v>
      </c>
      <c r="H44">
        <f>所有指标!E48</f>
        <v>4.4800000000000004</v>
      </c>
      <c r="I44" s="8">
        <f>(所有指标!E48-所有指标!H48)*100</f>
        <v>44.000000000000043</v>
      </c>
      <c r="J44">
        <f>所有指标!T48</f>
        <v>37.56</v>
      </c>
    </row>
    <row r="45" spans="1:10">
      <c r="A45" s="7">
        <f>所有指标!A49</f>
        <v>45753</v>
      </c>
      <c r="B45">
        <f>所有指标!C49</f>
        <v>1.7384999999999999</v>
      </c>
      <c r="C45">
        <f>(所有指标!C49-所有指标!B49)*100</f>
        <v>2.0499999999999963</v>
      </c>
      <c r="D45">
        <f>(所有指标!C49-所有指标!F49)*100</f>
        <v>14.369999999999994</v>
      </c>
      <c r="E45">
        <f>所有指标!D49</f>
        <v>1.9330000000000001</v>
      </c>
      <c r="F45">
        <f>(所有指标!D49-所有指标!I49)*100</f>
        <v>44.769999999999996</v>
      </c>
      <c r="G45">
        <f>(所有指标!D49-所有指标!G49)*100</f>
        <v>5.2799999999999958</v>
      </c>
      <c r="H45">
        <f>所有指标!E49</f>
        <v>4.01</v>
      </c>
      <c r="I45" s="8">
        <f>(所有指标!E49-所有指标!H49)*100</f>
        <v>14.999999999999991</v>
      </c>
      <c r="J45">
        <f>所有指标!T49</f>
        <v>45.31</v>
      </c>
    </row>
    <row r="46" spans="1:10">
      <c r="A46" s="7">
        <f>所有指标!A50</f>
        <v>45746</v>
      </c>
      <c r="B46">
        <f>所有指标!C50</f>
        <v>1.8583000000000001</v>
      </c>
      <c r="C46">
        <f>(所有指标!C50-所有指标!B50)*100</f>
        <v>4.5700000000000074</v>
      </c>
      <c r="D46">
        <f>(所有指标!C50-所有指标!F50)*100</f>
        <v>21.100000000000009</v>
      </c>
      <c r="E46">
        <f>所有指标!D50</f>
        <v>1.9821</v>
      </c>
      <c r="F46">
        <f>(所有指标!D50-所有指标!I50)*100</f>
        <v>45.19</v>
      </c>
      <c r="G46">
        <f>(所有指标!D50-所有指标!G50)*100</f>
        <v>4.3199999999999905</v>
      </c>
      <c r="H46">
        <f>所有指标!E50</f>
        <v>4.2699999999999996</v>
      </c>
      <c r="I46" s="8">
        <f>(所有指标!E50-所有指标!H50)*100</f>
        <v>22.999999999999954</v>
      </c>
      <c r="J46">
        <f>所有指标!T50</f>
        <v>21.65</v>
      </c>
    </row>
    <row r="47" spans="1:10">
      <c r="A47" s="7">
        <f>所有指标!A51</f>
        <v>45739</v>
      </c>
      <c r="B47">
        <f>所有指标!C51</f>
        <v>1.8783000000000001</v>
      </c>
      <c r="C47">
        <f>(所有指标!C51-所有指标!B51)*100</f>
        <v>3.2499999999999973</v>
      </c>
      <c r="D47">
        <f>(所有指标!C51-所有指标!F51)*100</f>
        <v>22.599999999999998</v>
      </c>
      <c r="E47">
        <f>所有指标!D51</f>
        <v>1.9970000000000001</v>
      </c>
      <c r="F47">
        <f>(所有指标!D51-所有指标!I51)*100</f>
        <v>41.660000000000011</v>
      </c>
      <c r="G47">
        <f>(所有指标!D51-所有指标!G51)*100</f>
        <v>2.6000000000000023</v>
      </c>
      <c r="H47">
        <f>所有指标!E51</f>
        <v>4.25</v>
      </c>
      <c r="I47" s="8">
        <f>(所有指标!E51-所有指标!H51)*100</f>
        <v>20.999999999999996</v>
      </c>
      <c r="J47">
        <f>所有指标!T51</f>
        <v>19.28</v>
      </c>
    </row>
    <row r="48" spans="1:10">
      <c r="A48" s="7">
        <f>所有指标!A52</f>
        <v>45732</v>
      </c>
      <c r="B48">
        <f>所有指标!C52</f>
        <v>1.8506</v>
      </c>
      <c r="C48">
        <f>(所有指标!C52-所有指标!B52)*100</f>
        <v>1.8899999999999917</v>
      </c>
      <c r="D48">
        <f>(所有指标!C52-所有指标!F52)*100</f>
        <v>17.260000000000009</v>
      </c>
      <c r="E48">
        <f>所有指标!D52</f>
        <v>2.0655999999999999</v>
      </c>
      <c r="F48">
        <f>(所有指标!D52-所有指标!I52)*100</f>
        <v>51.819999999999979</v>
      </c>
      <c r="G48">
        <f>(所有指标!D52-所有指标!G52)*100</f>
        <v>2.9099999999999682</v>
      </c>
      <c r="H48">
        <f>所有指标!E52</f>
        <v>4.3099999999999996</v>
      </c>
      <c r="I48" s="8">
        <f>(所有指标!E52-所有指标!H52)*100</f>
        <v>21.999999999999975</v>
      </c>
      <c r="J48">
        <f>所有指标!T52</f>
        <v>21.77</v>
      </c>
    </row>
    <row r="49" spans="1:10">
      <c r="A49" s="7">
        <f>所有指标!A53</f>
        <v>45725</v>
      </c>
      <c r="B49">
        <f>所有指标!C53</f>
        <v>1.8035000000000001</v>
      </c>
      <c r="C49">
        <f>(所有指标!C53-所有指标!B53)*100</f>
        <v>0.33000000000000806</v>
      </c>
      <c r="D49">
        <f>(所有指标!C53-所有指标!F53)*100</f>
        <v>12.130000000000019</v>
      </c>
      <c r="E49">
        <f>所有指标!D53</f>
        <v>2.1093999999999999</v>
      </c>
      <c r="F49">
        <f>(所有指标!D53-所有指标!I53)*100</f>
        <v>60.24</v>
      </c>
      <c r="G49">
        <f>(所有指标!D53-所有指标!G53)*100</f>
        <v>2.8000000000000025</v>
      </c>
      <c r="H49">
        <f>所有指标!E53</f>
        <v>4.32</v>
      </c>
      <c r="I49" s="8">
        <f>(所有指标!E53-所有指标!H53)*100</f>
        <v>27.000000000000046</v>
      </c>
      <c r="J49">
        <f>所有指标!T53</f>
        <v>23.37</v>
      </c>
    </row>
    <row r="50" spans="1:10">
      <c r="A50" s="7">
        <f>所有指标!A54</f>
        <v>45718</v>
      </c>
      <c r="B50">
        <f>所有指标!C54</f>
        <v>1.7430000000000001</v>
      </c>
      <c r="C50">
        <f>(所有指标!C54-所有指标!B54)*100</f>
        <v>2.7800000000000047</v>
      </c>
      <c r="D50">
        <f>(所有指标!C54-所有指标!F54)*100</f>
        <v>6.0800000000000187</v>
      </c>
      <c r="E50">
        <f>所有指标!D54</f>
        <v>2.0750000000000002</v>
      </c>
      <c r="F50">
        <f>(所有指标!D54-所有指标!I54)*100</f>
        <v>64.970000000000013</v>
      </c>
      <c r="G50">
        <f>(所有指标!D54-所有指标!G54)*100</f>
        <v>-0.59999999999997833</v>
      </c>
      <c r="H50">
        <f>所有指标!E54</f>
        <v>4.24</v>
      </c>
      <c r="I50" s="8">
        <f>(所有指标!E54-所有指标!H54)*100</f>
        <v>16.000000000000014</v>
      </c>
      <c r="J50">
        <f>所有指标!T54</f>
        <v>19.63</v>
      </c>
    </row>
    <row r="51" spans="1:10">
      <c r="A51" s="7">
        <f>所有指标!A55</f>
        <v>45711</v>
      </c>
      <c r="B51">
        <f>所有指标!C55</f>
        <v>1.7302999999999999</v>
      </c>
      <c r="C51">
        <f>(所有指标!C55-所有指标!B55)*100</f>
        <v>1.0299999999999976</v>
      </c>
      <c r="D51">
        <f>(所有指标!C55-所有指标!F55)*100</f>
        <v>9.8099999999999845</v>
      </c>
      <c r="E51">
        <f>所有指标!D55</f>
        <v>1.9756</v>
      </c>
      <c r="F51">
        <f>(所有指标!D55-所有指标!I55)*100</f>
        <v>50.500000000000014</v>
      </c>
      <c r="G51">
        <f>(所有指标!D55-所有指标!G55)*100</f>
        <v>0.39000000000000146</v>
      </c>
      <c r="H51">
        <f>所有指标!E55</f>
        <v>4.42</v>
      </c>
      <c r="I51" s="8">
        <f>(所有指标!E55-所有指标!H55)*100</f>
        <v>26.999999999999957</v>
      </c>
      <c r="J51">
        <f>所有指标!T55</f>
        <v>18.21</v>
      </c>
    </row>
    <row r="52" spans="1:10">
      <c r="A52" s="7">
        <f>所有指标!A56</f>
        <v>45704</v>
      </c>
      <c r="B52">
        <f>所有指标!C56</f>
        <v>1.6546000000000001</v>
      </c>
      <c r="C52">
        <f>(所有指标!C56-所有指标!B56)*100</f>
        <v>0</v>
      </c>
      <c r="D52">
        <f>(所有指标!C56-所有指标!F56)*100</f>
        <v>13.290000000000003</v>
      </c>
      <c r="E52">
        <f>所有指标!D56</f>
        <v>1.8389</v>
      </c>
      <c r="F52">
        <f>(所有指标!D56-所有指标!I56)*100</f>
        <v>47.83</v>
      </c>
      <c r="G52">
        <f>(所有指标!D56-所有指标!G56)*100</f>
        <v>0.8899999999999908</v>
      </c>
      <c r="H52">
        <f>所有指标!E56</f>
        <v>4.47</v>
      </c>
      <c r="I52" s="8">
        <f>(所有指标!E56-所有指标!H56)*100</f>
        <v>23.999999999999932</v>
      </c>
      <c r="J52">
        <f>所有指标!T56</f>
        <v>14.77</v>
      </c>
    </row>
    <row r="53" spans="1:10">
      <c r="A53" s="7">
        <f>所有指标!A57</f>
        <v>45697</v>
      </c>
      <c r="B53">
        <f>所有指标!C57</f>
        <v>1.6067</v>
      </c>
      <c r="C53">
        <f>(所有指标!C57-所有指标!B57)*100</f>
        <v>0.10000000000001119</v>
      </c>
      <c r="D53">
        <f>(所有指标!C57-所有指标!F57)*100</f>
        <v>17.589999999999996</v>
      </c>
      <c r="E53">
        <f>所有指标!D57</f>
        <v>1.7802</v>
      </c>
      <c r="F53">
        <f>(所有指标!D57-所有指标!I57)*100</f>
        <v>54.319999999999993</v>
      </c>
      <c r="G53">
        <f>(所有指标!D57-所有指标!G57)*100</f>
        <v>2.3900000000000032</v>
      </c>
      <c r="H53">
        <f>所有指标!E57</f>
        <v>4.49</v>
      </c>
      <c r="I53" s="8">
        <f>(所有指标!E57-所有指标!H57)*100</f>
        <v>24.000000000000021</v>
      </c>
      <c r="J53">
        <f>所有指标!T57</f>
        <v>16.54</v>
      </c>
    </row>
    <row r="54" spans="1:10">
      <c r="A54" s="7">
        <f>所有指标!A58</f>
        <v>45690</v>
      </c>
      <c r="B54">
        <f>所有指标!C58</f>
        <v>1.6526000000000001</v>
      </c>
      <c r="C54">
        <f>(所有指标!C58-所有指标!B58)*100</f>
        <v>2.2700000000000164</v>
      </c>
      <c r="D54">
        <f>(所有指标!C58-所有指标!F58)*100</f>
        <v>20.440000000000012</v>
      </c>
      <c r="E54">
        <f>所有指标!D58</f>
        <v>1.8349</v>
      </c>
      <c r="F54">
        <f>(所有指标!D58-所有指标!I58)*100</f>
        <v>58.339999999999989</v>
      </c>
      <c r="G54">
        <f>(所有指标!D58-所有指标!G58)*100</f>
        <v>3.3299999999999885</v>
      </c>
      <c r="H54">
        <f>所有指标!E58</f>
        <v>4.58</v>
      </c>
      <c r="I54" s="8">
        <f>(所有指标!E58-所有指标!H58)*100</f>
        <v>41.000000000000014</v>
      </c>
      <c r="J54">
        <f>所有指标!T58</f>
        <v>16.43</v>
      </c>
    </row>
    <row r="55" spans="1:10">
      <c r="A55" s="7">
        <f>所有指标!A59</f>
        <v>45683</v>
      </c>
      <c r="B55">
        <f>所有指标!C59</f>
        <v>1.6800999999999999</v>
      </c>
      <c r="C55">
        <f>(所有指标!C59-所有指标!B59)*100</f>
        <v>2.6399999999999979</v>
      </c>
      <c r="D55">
        <f>(所有指标!C59-所有指标!F59)*100</f>
        <v>18.499999999999982</v>
      </c>
      <c r="E55">
        <f>所有指标!D59</f>
        <v>1.8571</v>
      </c>
      <c r="F55">
        <f>(所有指标!D59-所有指标!I59)*100</f>
        <v>54.170000000000009</v>
      </c>
      <c r="G55">
        <f>(所有指标!D59-所有指标!G59)*100</f>
        <v>2.5399999999999867</v>
      </c>
      <c r="H55">
        <f>所有指标!E59</f>
        <v>4.63</v>
      </c>
      <c r="I55" s="8">
        <f>(所有指标!E59-所有指标!H59)*100</f>
        <v>46</v>
      </c>
      <c r="J55">
        <f>所有指标!T59</f>
        <v>14.85</v>
      </c>
    </row>
    <row r="56" spans="1:10">
      <c r="A56" s="7">
        <f>所有指标!A60</f>
        <v>45676</v>
      </c>
      <c r="B56">
        <f>所有指标!C60</f>
        <v>1.67</v>
      </c>
      <c r="C56">
        <f>(所有指标!C60-所有指标!B60)*100</f>
        <v>1.0699999999999932</v>
      </c>
      <c r="D56">
        <f>(所有指标!C60-所有指标!F60)*100</f>
        <v>20.99</v>
      </c>
      <c r="E56">
        <f>所有指标!D60</f>
        <v>1.8269</v>
      </c>
      <c r="F56">
        <f>(所有指标!D60-所有指标!I60)*100</f>
        <v>55.610000000000007</v>
      </c>
      <c r="G56">
        <f>(所有指标!D60-所有指标!G60)*100</f>
        <v>3.6000000000000032</v>
      </c>
      <c r="H56">
        <f>所有指标!E60</f>
        <v>4.6100000000000003</v>
      </c>
      <c r="I56" s="8">
        <f>(所有指标!E60-所有指标!H60)*100</f>
        <v>40.000000000000036</v>
      </c>
      <c r="J56">
        <f>所有指标!T60</f>
        <v>15.97</v>
      </c>
    </row>
    <row r="57" spans="1:10">
      <c r="A57" s="7">
        <f>所有指标!A61</f>
        <v>45669</v>
      </c>
      <c r="B57">
        <f>所有指标!C61</f>
        <v>1.645</v>
      </c>
      <c r="C57">
        <f>(所有指标!C61-所有指标!B61)*100</f>
        <v>1.1200000000000099</v>
      </c>
      <c r="D57">
        <f>(所有指标!C61-所有指标!F61)*100</f>
        <v>26.449999999999996</v>
      </c>
      <c r="E57">
        <f>所有指标!D61</f>
        <v>1.7075</v>
      </c>
      <c r="F57">
        <f>(所有指标!D61-所有指标!I61)*100</f>
        <v>49.629999999999995</v>
      </c>
      <c r="G57">
        <f>(所有指标!D61-所有指标!G61)*100</f>
        <v>3.8100000000000023</v>
      </c>
      <c r="H57">
        <f>所有指标!E61</f>
        <v>4.7699999999999996</v>
      </c>
      <c r="I57" s="8">
        <f>(所有指标!E61-所有指标!H61)*100</f>
        <v>51.999999999999957</v>
      </c>
      <c r="J57">
        <f>所有指标!T61</f>
        <v>19.54</v>
      </c>
    </row>
    <row r="58" spans="1:10">
      <c r="A58" s="7">
        <f>所有指标!A62</f>
        <v>45662</v>
      </c>
      <c r="B58">
        <f>所有指标!C62</f>
        <v>1.6463000000000001</v>
      </c>
      <c r="C58">
        <f>(所有指标!C62-所有指标!B62)*100</f>
        <v>4.2200000000000015</v>
      </c>
      <c r="D58">
        <f>(所有指标!C62-所有指标!F62)*100</f>
        <v>36.450000000000003</v>
      </c>
      <c r="E58">
        <f>所有指标!D62</f>
        <v>1.6315999999999999</v>
      </c>
      <c r="F58">
        <f>(所有指标!D62-所有指标!I62)*100</f>
        <v>61.11</v>
      </c>
      <c r="G58">
        <f>(所有指标!D62-所有指标!G62)*100</f>
        <v>0.20999999999999908</v>
      </c>
      <c r="H58">
        <f>所有指标!E62</f>
        <v>4.5999999999999996</v>
      </c>
      <c r="I58" s="8">
        <f>(所有指标!E62-所有指标!H62)*100</f>
        <v>41.999999999999993</v>
      </c>
      <c r="J58">
        <f>所有指标!T62</f>
        <v>16.13</v>
      </c>
    </row>
    <row r="59" spans="1:10">
      <c r="A59" s="7">
        <f>所有指标!A63</f>
        <v>45655</v>
      </c>
      <c r="B59">
        <f>所有指标!C63</f>
        <v>1.7563</v>
      </c>
      <c r="C59">
        <f>(所有指标!C63-所有指标!B63)*100</f>
        <v>6.3399999999999901</v>
      </c>
      <c r="D59">
        <f>(所有指标!C63-所有指标!F63)*100</f>
        <v>52.449999999999996</v>
      </c>
      <c r="E59">
        <f>所有指标!D63</f>
        <v>1.7613000000000001</v>
      </c>
      <c r="F59">
        <f>(所有指标!D63-所有指标!I63)*100</f>
        <v>62.930000000000021</v>
      </c>
      <c r="G59">
        <f>(所有指标!D63-所有指标!G63)*100</f>
        <v>5.2000000000000046</v>
      </c>
      <c r="H59">
        <f>所有指标!E63</f>
        <v>4.62</v>
      </c>
      <c r="I59" s="8">
        <f>(所有指标!E63-所有指标!H63)*100</f>
        <v>41.999999999999993</v>
      </c>
      <c r="J59">
        <f>所有指标!T63</f>
        <v>15.95</v>
      </c>
    </row>
    <row r="60" spans="1:10">
      <c r="A60" s="7">
        <f>所有指标!A64</f>
        <v>45648</v>
      </c>
      <c r="B60">
        <f>所有指标!C64</f>
        <v>1.7613000000000001</v>
      </c>
      <c r="C60">
        <f>(所有指标!C64-所有指标!B64)*100</f>
        <v>5.9500000000000108</v>
      </c>
      <c r="D60">
        <f>(所有指标!C64-所有指标!F64)*100</f>
        <v>42.120000000000005</v>
      </c>
      <c r="E60">
        <f>所有指标!D64</f>
        <v>1.7904</v>
      </c>
      <c r="F60">
        <f>(所有指标!D64-所有指标!I64)*100</f>
        <v>71.98</v>
      </c>
      <c r="G60">
        <f>(所有指标!D64-所有指标!G64)*100</f>
        <v>6.9700000000000095</v>
      </c>
      <c r="H60">
        <f>所有指标!E64</f>
        <v>4.5199999999999996</v>
      </c>
      <c r="I60" s="8">
        <f>(所有指标!E64-所有指标!H64)*100</f>
        <v>25</v>
      </c>
      <c r="J60">
        <f>所有指标!T64</f>
        <v>18.36</v>
      </c>
    </row>
    <row r="61" spans="1:10">
      <c r="A61" s="7">
        <f>所有指标!A65</f>
        <v>45641</v>
      </c>
      <c r="B61">
        <f>所有指标!C65</f>
        <v>1.8438000000000001</v>
      </c>
      <c r="C61">
        <f>(所有指标!C65-所有指标!B65)*100</f>
        <v>6.6700000000000204</v>
      </c>
      <c r="D61">
        <f>(所有指标!C65-所有指标!F65)*100</f>
        <v>42.420000000000016</v>
      </c>
      <c r="E61">
        <f>所有指标!D65</f>
        <v>1.7910999999999999</v>
      </c>
      <c r="F61">
        <f>(所有指标!D65-所有指标!I65)*100</f>
        <v>61.409999999999989</v>
      </c>
      <c r="G61">
        <f>(所有指标!D65-所有指标!G65)*100</f>
        <v>5.6099999999999817</v>
      </c>
      <c r="H61">
        <f>所有指标!E65</f>
        <v>4.4000000000000004</v>
      </c>
      <c r="I61" s="8">
        <f>(所有指标!E65-所有指标!H65)*100</f>
        <v>16.000000000000014</v>
      </c>
      <c r="J61">
        <f>所有指标!T65</f>
        <v>13.81</v>
      </c>
    </row>
    <row r="62" spans="1:10">
      <c r="A62" s="7">
        <f>所有指标!A66</f>
        <v>45634</v>
      </c>
      <c r="B62">
        <f>所有指标!C66</f>
        <v>2.0303</v>
      </c>
      <c r="C62">
        <f>(所有指标!C66-所有指标!B66)*100</f>
        <v>7.6400000000000023</v>
      </c>
      <c r="D62">
        <f>(所有指标!C66-所有指标!F66)*100</f>
        <v>47.879999999999988</v>
      </c>
      <c r="E62">
        <f>所有指标!D66</f>
        <v>1.8835999999999999</v>
      </c>
      <c r="F62">
        <f>(所有指标!D66-所有指标!I66)*100</f>
        <v>56.519999999999996</v>
      </c>
      <c r="G62">
        <f>(所有指标!D66-所有指标!G66)*100</f>
        <v>7.6500000000000012</v>
      </c>
      <c r="H62">
        <f>所有指标!E66</f>
        <v>4.1500000000000004</v>
      </c>
      <c r="I62" s="8">
        <f>(所有指标!E66-所有指标!H66)*100</f>
        <v>-4.0000000000000036</v>
      </c>
      <c r="J62">
        <f>所有指标!T66</f>
        <v>12.77</v>
      </c>
    </row>
    <row r="63" spans="1:10">
      <c r="A63" s="7">
        <f>所有指标!A67</f>
        <v>45627</v>
      </c>
      <c r="B63">
        <f>所有指标!C67</f>
        <v>2.1038000000000001</v>
      </c>
      <c r="C63">
        <f>(所有指标!C67-所有指标!B67)*100</f>
        <v>8.3200000000000163</v>
      </c>
      <c r="D63">
        <f>(所有指标!C67-所有指标!F67)*100</f>
        <v>50.04000000000002</v>
      </c>
      <c r="E63">
        <f>所有指标!D67</f>
        <v>1.9967999999999999</v>
      </c>
      <c r="F63">
        <f>(所有指标!D67-所有指标!I67)*100</f>
        <v>62.969999999999992</v>
      </c>
      <c r="G63">
        <f>(所有指标!D67-所有指标!G67)*100</f>
        <v>7.4299999999999811</v>
      </c>
      <c r="H63">
        <f>所有指标!E67</f>
        <v>4.18</v>
      </c>
      <c r="I63" s="8">
        <f>(所有指标!E67-所有指标!H67)*100</f>
        <v>-12.000000000000011</v>
      </c>
      <c r="J63">
        <f>所有指标!T67</f>
        <v>13.51</v>
      </c>
    </row>
    <row r="64" spans="1:10">
      <c r="A64" s="7">
        <f>所有指标!A68</f>
        <v>45620</v>
      </c>
      <c r="B64">
        <f>所有指标!C68</f>
        <v>2.1488</v>
      </c>
      <c r="C64">
        <f>(所有指标!C68-所有指标!B68)*100</f>
        <v>6.5599999999999881</v>
      </c>
      <c r="D64">
        <f>(所有指标!C68-所有指标!F68)*100</f>
        <v>48.940000000000005</v>
      </c>
      <c r="E64">
        <f>所有指标!D68</f>
        <v>2.0708000000000002</v>
      </c>
      <c r="F64">
        <f>(所有指标!D68-所有指标!I68)*100</f>
        <v>68.180000000000021</v>
      </c>
      <c r="G64">
        <f>(所有指标!D68-所有指标!G68)*100</f>
        <v>10.30000000000002</v>
      </c>
      <c r="H64">
        <f>所有指标!E68</f>
        <v>4.41</v>
      </c>
      <c r="I64" s="8">
        <f>(所有指标!E68-所有指标!H68)*100</f>
        <v>-0.99999999999997868</v>
      </c>
      <c r="J64">
        <f>所有指标!T68</f>
        <v>15.24</v>
      </c>
    </row>
    <row r="65" spans="1:10">
      <c r="A65" s="7">
        <f>所有指标!A69</f>
        <v>45613</v>
      </c>
      <c r="B65">
        <f>所有指标!C69</f>
        <v>2.1543000000000001</v>
      </c>
      <c r="C65">
        <f>(所有指标!C69-所有指标!B69)*100</f>
        <v>5.9499999999999886</v>
      </c>
      <c r="D65">
        <f>(所有指标!C69-所有指标!F69)*100</f>
        <v>50.540000000000006</v>
      </c>
      <c r="E65">
        <f>所有指标!D69</f>
        <v>2.0756999999999999</v>
      </c>
      <c r="F65">
        <f>(所有指标!D69-所有指标!I69)*100</f>
        <v>67.22999999999999</v>
      </c>
      <c r="G65">
        <f>(所有指标!D69-所有指标!G69)*100</f>
        <v>10.419999999999984</v>
      </c>
      <c r="H65">
        <f>所有指标!E69</f>
        <v>4.43</v>
      </c>
      <c r="I65" s="8">
        <f>(所有指标!E69-所有指标!H69)*100</f>
        <v>8.9999999999999858</v>
      </c>
      <c r="J65">
        <f>所有指标!T69</f>
        <v>16.14</v>
      </c>
    </row>
    <row r="66" spans="1:10">
      <c r="A66" s="7">
        <f>所有指标!A70</f>
        <v>45606</v>
      </c>
      <c r="B66">
        <f>所有指标!C70</f>
        <v>2.1738</v>
      </c>
      <c r="C66">
        <f>(所有指标!C70-所有指标!B70)*100</f>
        <v>6.7099999999999937</v>
      </c>
      <c r="D66">
        <f>(所有指标!C70-所有指标!F70)*100</f>
        <v>52.2</v>
      </c>
      <c r="E66">
        <f>所有指标!D70</f>
        <v>2.0962000000000001</v>
      </c>
      <c r="F66">
        <f>(所有指标!D70-所有指标!I70)*100</f>
        <v>67.87</v>
      </c>
      <c r="G66">
        <f>(所有指标!D70-所有指标!G70)*100</f>
        <v>11.250000000000004</v>
      </c>
      <c r="H66">
        <f>所有指标!E70</f>
        <v>4.3</v>
      </c>
      <c r="I66" s="8">
        <f>(所有指标!E70-所有指标!H70)*100</f>
        <v>-2.0000000000000462</v>
      </c>
      <c r="J66">
        <f>所有指标!T70</f>
        <v>14.94</v>
      </c>
    </row>
    <row r="67" spans="1:10">
      <c r="A67" s="7">
        <f>所有指标!A71</f>
        <v>45599</v>
      </c>
      <c r="B67">
        <f>所有指标!C71</f>
        <v>2.2092999999999998</v>
      </c>
      <c r="C67">
        <f>(所有指标!C71-所有指标!B71)*100</f>
        <v>6.8699999999999761</v>
      </c>
      <c r="D67">
        <f>(所有指标!C71-所有指标!F71)*100</f>
        <v>52.149999999999984</v>
      </c>
      <c r="E67">
        <f>所有指标!D71</f>
        <v>2.1751</v>
      </c>
      <c r="F67">
        <f>(所有指标!D71-所有指标!I71)*100</f>
        <v>74.13000000000001</v>
      </c>
      <c r="G67">
        <f>(所有指标!D71-所有指标!G71)*100</f>
        <v>13.01000000000001</v>
      </c>
      <c r="H67">
        <f>所有指标!E71</f>
        <v>4.37</v>
      </c>
      <c r="I67" s="8">
        <f>(所有指标!E71-所有指标!H71)*100</f>
        <v>8.9999999999999858</v>
      </c>
      <c r="J67">
        <f>所有指标!T71</f>
        <v>21.88</v>
      </c>
    </row>
    <row r="68" spans="1:10">
      <c r="A68" s="7">
        <f>所有指标!A72</f>
        <v>45592</v>
      </c>
      <c r="B68">
        <f>所有指标!C72</f>
        <v>2.2313000000000001</v>
      </c>
      <c r="C68">
        <f>(所有指标!C72-所有指标!B72)*100</f>
        <v>7.7399999999999913</v>
      </c>
      <c r="D68">
        <f>(所有指标!C72-所有指标!F72)*100</f>
        <v>49.04000000000002</v>
      </c>
      <c r="E68">
        <f>所有指标!D72</f>
        <v>2.1941000000000002</v>
      </c>
      <c r="F68">
        <f>(所有指标!D72-所有指标!I72)*100</f>
        <v>69.660000000000011</v>
      </c>
      <c r="G68">
        <f>(所有指标!D72-所有指标!G72)*100</f>
        <v>13.339999999999996</v>
      </c>
      <c r="H68">
        <f>所有指标!E72</f>
        <v>4.25</v>
      </c>
      <c r="I68" s="8">
        <f>(所有指标!E72-所有指标!H72)*100</f>
        <v>-4.0000000000000036</v>
      </c>
      <c r="J68">
        <f>所有指标!T72</f>
        <v>20.329999999999998</v>
      </c>
    </row>
    <row r="69" spans="1:10">
      <c r="A69" s="7">
        <f>所有指标!A73</f>
        <v>45585</v>
      </c>
      <c r="B69">
        <f>所有指标!C73</f>
        <v>2.2002999999999999</v>
      </c>
      <c r="C69">
        <f>(所有指标!C73-所有指标!B73)*100</f>
        <v>7.9400000000000137</v>
      </c>
      <c r="D69">
        <f>(所有指标!C73-所有指标!F73)*100</f>
        <v>48.61</v>
      </c>
      <c r="E69">
        <f>所有指标!D73</f>
        <v>2.1063000000000001</v>
      </c>
      <c r="F69">
        <f>(所有指标!D73-所有指标!I73)*100</f>
        <v>60.150000000000013</v>
      </c>
      <c r="G69">
        <f>(所有指标!D73-所有指标!G73)*100</f>
        <v>9.319999999999995</v>
      </c>
      <c r="H69">
        <f>所有指标!E73</f>
        <v>4.08</v>
      </c>
      <c r="I69" s="8">
        <f>(所有指标!E73-所有指标!H73)*100</f>
        <v>-11.000000000000032</v>
      </c>
      <c r="J69">
        <f>所有指标!T73</f>
        <v>18.03</v>
      </c>
    </row>
    <row r="70" spans="1:10">
      <c r="A70" s="7">
        <f>所有指标!A74</f>
        <v>45578</v>
      </c>
      <c r="B70">
        <f>所有指标!C74</f>
        <v>2.2254999999999998</v>
      </c>
      <c r="C70">
        <f>(所有指标!C74-所有指标!B74)*100</f>
        <v>8.1399999999999917</v>
      </c>
      <c r="D70">
        <f>(所有指标!C74-所有指标!F74)*100</f>
        <v>49.559999999999981</v>
      </c>
      <c r="E70">
        <f>所有指标!D74</f>
        <v>2.2159</v>
      </c>
      <c r="F70">
        <f>(所有指标!D74-所有指标!I74)*100</f>
        <v>66.09</v>
      </c>
      <c r="G70">
        <f>(所有指标!D74-所有指标!G74)*100</f>
        <v>12.119999999999997</v>
      </c>
      <c r="H70">
        <f>所有指标!E74</f>
        <v>4.08</v>
      </c>
      <c r="I70" s="8">
        <f>(所有指标!E74-所有指标!H74)*100</f>
        <v>-9.9999999999999645</v>
      </c>
      <c r="J70">
        <f>所有指标!T74</f>
        <v>20.46</v>
      </c>
    </row>
    <row r="71" spans="1:10">
      <c r="A71" s="7">
        <f>所有指标!A75</f>
        <v>45571</v>
      </c>
      <c r="B71">
        <f>所有指标!C75</f>
        <v>2.2462</v>
      </c>
      <c r="C71">
        <f>(所有指标!C75-所有指标!B75)*100</f>
        <v>9.4399999999999817</v>
      </c>
      <c r="D71">
        <f>(所有指标!C75-所有指标!F75)*100</f>
        <v>59.539999999999992</v>
      </c>
      <c r="E71">
        <f>所有指标!D75</f>
        <v>2.2597999999999998</v>
      </c>
      <c r="F71">
        <f>(所有指标!D75-所有指标!I75)*100</f>
        <v>80.07999999999997</v>
      </c>
      <c r="G71">
        <f>(所有指标!D75-所有指标!G75)*100</f>
        <v>9.1699999999999893</v>
      </c>
      <c r="H71">
        <f>所有指标!E75</f>
        <v>3.98</v>
      </c>
      <c r="I71" s="8">
        <f>(所有指标!E75-所有指标!H75)*100</f>
        <v>-22.000000000000021</v>
      </c>
      <c r="J71">
        <f>所有指标!T75</f>
        <v>19.21</v>
      </c>
    </row>
    <row r="72" spans="1:10">
      <c r="A72" s="7">
        <f>所有指标!A76</f>
        <v>45564</v>
      </c>
      <c r="B72">
        <f>所有指标!C76</f>
        <v>2.3355999999999999</v>
      </c>
      <c r="C72">
        <f>(所有指标!C76-所有指标!B76)*100</f>
        <v>8.2199999999999829</v>
      </c>
      <c r="D72">
        <f>(所有指标!C76-所有指标!F76)*100</f>
        <v>63.71</v>
      </c>
      <c r="E72">
        <f>所有指标!D76</f>
        <v>2.2553999999999998</v>
      </c>
      <c r="F72">
        <f>(所有指标!D76-所有指标!I76)*100</f>
        <v>76.639999999999972</v>
      </c>
      <c r="G72">
        <f>(所有指标!D76-所有指标!G76)*100</f>
        <v>8.5999999999999854</v>
      </c>
      <c r="H72">
        <f>所有指标!E76</f>
        <v>3.75</v>
      </c>
      <c r="I72" s="8">
        <f>(所有指标!E76-所有指标!H76)*100</f>
        <v>-14.999999999999991</v>
      </c>
      <c r="J72">
        <f>所有指标!T76</f>
        <v>16.96</v>
      </c>
    </row>
    <row r="73" spans="1:10">
      <c r="A73" s="7">
        <f>所有指标!A77</f>
        <v>45557</v>
      </c>
      <c r="B73">
        <f>所有指标!C77</f>
        <v>2.1175000000000002</v>
      </c>
      <c r="C73">
        <f>(所有指标!C77-所有指标!B77)*100</f>
        <v>7.4400000000000244</v>
      </c>
      <c r="D73">
        <f>(所有指标!C77-所有指标!F77)*100</f>
        <v>45.590000000000018</v>
      </c>
      <c r="E73">
        <f>所有指标!D77</f>
        <v>2.0468999999999999</v>
      </c>
      <c r="F73">
        <f>(所有指标!D77-所有指标!I77)*100</f>
        <v>66.55</v>
      </c>
      <c r="G73">
        <f>(所有指标!D77-所有指标!G77)*100</f>
        <v>3.6099999999999799</v>
      </c>
      <c r="H73">
        <f>所有指标!E77</f>
        <v>3.73</v>
      </c>
      <c r="I73" s="8">
        <f>(所有指标!E77-所有指标!H77)*100</f>
        <v>-18.999999999999993</v>
      </c>
      <c r="J73">
        <f>所有指标!T77</f>
        <v>16.149999999999999</v>
      </c>
    </row>
    <row r="74" spans="1:10">
      <c r="A74" s="7">
        <f>所有指标!A78</f>
        <v>45550</v>
      </c>
      <c r="B74">
        <f>所有指标!C78</f>
        <v>2.1274999999999999</v>
      </c>
      <c r="C74">
        <f>(所有指标!C78-所有指标!B78)*100</f>
        <v>8.4999999999999964</v>
      </c>
      <c r="D74">
        <f>(所有指标!C78-所有指标!F78)*100</f>
        <v>47.99</v>
      </c>
      <c r="E74">
        <f>所有指标!D78</f>
        <v>2.0453000000000001</v>
      </c>
      <c r="F74">
        <f>(所有指标!D78-所有指标!I78)*100</f>
        <v>71.13000000000001</v>
      </c>
      <c r="G74">
        <f>(所有指标!D78-所有指标!G78)*100</f>
        <v>3.5300000000000331</v>
      </c>
      <c r="H74">
        <f>所有指标!E78</f>
        <v>3.66</v>
      </c>
      <c r="I74" s="8">
        <f>(所有指标!E78-所有指标!H78)*100</f>
        <v>-33.999999999999986</v>
      </c>
      <c r="J74">
        <f>所有指标!T78</f>
        <v>16.559999999999999</v>
      </c>
    </row>
    <row r="75" spans="1:10">
      <c r="A75" s="7">
        <f>所有指标!A79</f>
        <v>45543</v>
      </c>
      <c r="B75">
        <f>所有指标!C79</f>
        <v>2.2281</v>
      </c>
      <c r="C75">
        <f>(所有指标!C79-所有指标!B79)*100</f>
        <v>8.9300000000000157</v>
      </c>
      <c r="D75">
        <f>(所有指标!C79-所有指标!F79)*100</f>
        <v>54.29999999999999</v>
      </c>
      <c r="E75">
        <f>所有指标!D79</f>
        <v>2.0501</v>
      </c>
      <c r="F75">
        <f>(所有指标!D79-所有指标!I79)*100</f>
        <v>60.760000000000012</v>
      </c>
      <c r="G75">
        <f>(所有指标!D79-所有指标!G79)*100</f>
        <v>4.0100000000000247</v>
      </c>
      <c r="H75">
        <f>所有指标!E79</f>
        <v>3.72</v>
      </c>
      <c r="I75" s="8">
        <f>(所有指标!E79-所有指标!H79)*100</f>
        <v>-37.999999999999943</v>
      </c>
      <c r="J75">
        <f>所有指标!T79</f>
        <v>22.38</v>
      </c>
    </row>
    <row r="76" spans="1:10">
      <c r="A76" s="7">
        <f>所有指标!A80</f>
        <v>45536</v>
      </c>
      <c r="B76">
        <f>所有指标!C80</f>
        <v>2.2601</v>
      </c>
      <c r="C76">
        <f>(所有指标!C80-所有指标!B80)*100</f>
        <v>8.9700000000000113</v>
      </c>
      <c r="D76">
        <f>(所有指标!C80-所有指标!F80)*100</f>
        <v>54.85</v>
      </c>
      <c r="E76">
        <f>所有指标!D80</f>
        <v>2.1158999999999999</v>
      </c>
      <c r="F76">
        <f>(所有指标!D80-所有指标!I80)*100</f>
        <v>59.619999999999983</v>
      </c>
      <c r="G76">
        <f>(所有指标!D80-所有指标!G80)*100</f>
        <v>5.9600000000000097</v>
      </c>
      <c r="H76">
        <f>所有指标!E80</f>
        <v>3.91</v>
      </c>
      <c r="I76" s="8">
        <f>(所有指标!E80-所有指标!H80)*100</f>
        <v>-46.999999999999972</v>
      </c>
      <c r="J76">
        <f>所有指标!T80</f>
        <v>15</v>
      </c>
    </row>
    <row r="77" spans="1:10">
      <c r="A77" s="7">
        <f>所有指标!A81</f>
        <v>45529</v>
      </c>
      <c r="B77">
        <f>所有指标!C81</f>
        <v>2.2311999999999999</v>
      </c>
      <c r="C77">
        <f>(所有指标!C81-所有指标!B81)*100</f>
        <v>7.649999999999979</v>
      </c>
      <c r="D77">
        <f>(所有指标!C81-所有指标!F81)*100</f>
        <v>53.709999999999994</v>
      </c>
      <c r="E77">
        <f>所有指标!D81</f>
        <v>2.0516999999999999</v>
      </c>
      <c r="F77">
        <f>(所有指标!D81-所有指标!I81)*100</f>
        <v>47.569999999999979</v>
      </c>
      <c r="G77">
        <f>(所有指标!D81-所有指标!G81)*100</f>
        <v>2.9499999999999638</v>
      </c>
      <c r="H77">
        <f>所有指标!E81</f>
        <v>3.81</v>
      </c>
      <c r="I77" s="8">
        <f>(所有指标!E81-所有指标!H81)*100</f>
        <v>-55.000000000000028</v>
      </c>
      <c r="J77">
        <f>所有指标!T81</f>
        <v>15.86</v>
      </c>
    </row>
    <row r="78" spans="1:10">
      <c r="A78" s="7">
        <f>所有指标!A82</f>
        <v>45522</v>
      </c>
      <c r="B78">
        <f>所有指标!C82</f>
        <v>2.2530000000000001</v>
      </c>
      <c r="C78">
        <f>(所有指标!C82-所有指标!B82)*100</f>
        <v>5.5200000000000138</v>
      </c>
      <c r="D78">
        <f>(所有指标!C82-所有指标!F82)*100</f>
        <v>56.800000000000004</v>
      </c>
      <c r="E78">
        <f>所有指标!D82</f>
        <v>2.0047000000000001</v>
      </c>
      <c r="F78">
        <f>(所有指标!D82-所有指标!I82)*100</f>
        <v>33.280000000000022</v>
      </c>
      <c r="G78">
        <f>(所有指标!D82-所有指标!G82)*100</f>
        <v>3.5100000000000131</v>
      </c>
      <c r="H78">
        <f>所有指标!E82</f>
        <v>3.89</v>
      </c>
      <c r="I78" s="8">
        <f>(所有指标!E82-所有指标!H82)*100</f>
        <v>-60.000000000000007</v>
      </c>
      <c r="J78">
        <f>所有指标!T82</f>
        <v>14.8</v>
      </c>
    </row>
    <row r="79" spans="1:10">
      <c r="A79" s="7">
        <f>所有指标!A83</f>
        <v>45515</v>
      </c>
      <c r="B79">
        <f>所有指标!C83</f>
        <v>2.2469000000000001</v>
      </c>
      <c r="C79">
        <f>(所有指标!C83-所有指标!B83)*100</f>
        <v>4.8300000000000232</v>
      </c>
      <c r="D79">
        <f>(所有指标!C83-所有指标!F83)*100</f>
        <v>59.46</v>
      </c>
      <c r="E79">
        <f>所有指标!D83</f>
        <v>1.9822</v>
      </c>
      <c r="F79">
        <f>(所有指标!D83-所有指标!I83)*100</f>
        <v>40.829999999999991</v>
      </c>
      <c r="G79">
        <f>(所有指标!D83-所有指标!G83)*100</f>
        <v>6.3199999999999923</v>
      </c>
      <c r="H79">
        <f>所有指标!E83</f>
        <v>3.94</v>
      </c>
      <c r="I79" s="8">
        <f>(所有指标!E83-所有指标!H83)*100</f>
        <v>-56.000000000000007</v>
      </c>
      <c r="J79">
        <f>所有指标!T83</f>
        <v>20.37</v>
      </c>
    </row>
    <row r="80" spans="1:10">
      <c r="A80" s="7">
        <f>所有指标!A84</f>
        <v>45508</v>
      </c>
      <c r="B80">
        <f>所有指标!C84</f>
        <v>2.1934999999999998</v>
      </c>
      <c r="C80">
        <f>(所有指标!C84-所有指标!B84)*100</f>
        <v>6.5799999999999859</v>
      </c>
      <c r="D80">
        <f>(所有指标!C84-所有指标!F84)*100</f>
        <v>58.629999999999981</v>
      </c>
      <c r="E80">
        <f>所有指标!D84</f>
        <v>1.9648000000000001</v>
      </c>
      <c r="F80">
        <f>(所有指标!D84-所有指标!I84)*100</f>
        <v>43.660000000000011</v>
      </c>
      <c r="G80">
        <f>(所有指标!D84-所有指标!G84)*100</f>
        <v>5.4000000000000048</v>
      </c>
      <c r="H80">
        <f>所有指标!E84</f>
        <v>3.8</v>
      </c>
      <c r="I80" s="8">
        <f>(所有指标!E84-所有指标!H84)*100</f>
        <v>-53.000000000000028</v>
      </c>
      <c r="J80">
        <f>所有指标!T84</f>
        <v>23.39</v>
      </c>
    </row>
    <row r="81" spans="1:10">
      <c r="A81" s="7">
        <f>所有指标!A85</f>
        <v>45501</v>
      </c>
      <c r="B81">
        <f>所有指标!C85</f>
        <v>2.2504</v>
      </c>
      <c r="C81">
        <f>(所有指标!C85-所有指标!B85)*100</f>
        <v>5.600000000000005</v>
      </c>
      <c r="D81">
        <f>(所有指标!C85-所有指标!F85)*100</f>
        <v>56.46</v>
      </c>
      <c r="E81">
        <f>所有指标!D85</f>
        <v>1.9968999999999999</v>
      </c>
      <c r="F81">
        <f>(所有指标!D85-所有指标!I85)*100</f>
        <v>46.729999999999983</v>
      </c>
      <c r="G81">
        <f>(所有指标!D85-所有指标!G85)*100</f>
        <v>4.5699999999999852</v>
      </c>
      <c r="H81">
        <f>所有指标!E85</f>
        <v>4.2</v>
      </c>
      <c r="I81" s="8">
        <f>(所有指标!E85-所有指标!H85)*100</f>
        <v>-58.999999999999986</v>
      </c>
      <c r="J81">
        <f>所有指标!T85</f>
        <v>16.39</v>
      </c>
    </row>
    <row r="82" spans="1:10">
      <c r="A82" s="7">
        <f>所有指标!A86</f>
        <v>45494</v>
      </c>
      <c r="B82">
        <f>所有指标!C86</f>
        <v>2.3323</v>
      </c>
      <c r="C82">
        <f>(所有指标!C86-所有指标!B86)*100</f>
        <v>7.0899999999999963</v>
      </c>
      <c r="D82">
        <f>(所有指标!C86-所有指标!F86)*100</f>
        <v>59.590000000000011</v>
      </c>
      <c r="E82">
        <f>所有指标!D86</f>
        <v>2.056</v>
      </c>
      <c r="F82">
        <f>(所有指标!D86-所有指标!I86)*100</f>
        <v>44.79</v>
      </c>
      <c r="G82">
        <f>(所有指标!D86-所有指标!G86)*100</f>
        <v>6.4300000000000024</v>
      </c>
      <c r="H82">
        <f>所有指标!E86</f>
        <v>4.25</v>
      </c>
      <c r="I82" s="8">
        <f>(所有指标!E86-所有指标!H86)*100</f>
        <v>-62.000000000000014</v>
      </c>
      <c r="J82">
        <f>所有指标!T86</f>
        <v>16.52</v>
      </c>
    </row>
    <row r="83" spans="1:10">
      <c r="A83" s="7">
        <f>所有指标!A87</f>
        <v>45487</v>
      </c>
      <c r="B83">
        <f>所有指标!C87</f>
        <v>2.3330000000000002</v>
      </c>
      <c r="C83">
        <f>(所有指标!C87-所有指标!B87)*100</f>
        <v>7.26</v>
      </c>
      <c r="D83">
        <f>(所有指标!C87-所有指标!F87)*100</f>
        <v>61.580000000000013</v>
      </c>
      <c r="E83">
        <f>所有指标!D87</f>
        <v>2.0783</v>
      </c>
      <c r="F83">
        <f>(所有指标!D87-所有指标!I87)*100</f>
        <v>45.589999999999996</v>
      </c>
      <c r="G83">
        <f>(所有指标!D87-所有指标!G87)*100</f>
        <v>8.5400000000000134</v>
      </c>
      <c r="H83">
        <f>所有指标!E87</f>
        <v>4.18</v>
      </c>
      <c r="I83" s="8">
        <f>(所有指标!E87-所有指标!H87)*100</f>
        <v>-69.000000000000043</v>
      </c>
      <c r="J83">
        <f>所有指标!T87</f>
        <v>12.46</v>
      </c>
    </row>
    <row r="84" spans="1:10">
      <c r="A84" s="7">
        <f>所有指标!A88</f>
        <v>45480</v>
      </c>
      <c r="B84">
        <f>所有指标!C88</f>
        <v>2.3559999999999999</v>
      </c>
      <c r="C84">
        <f>(所有指标!C88-所有指标!B88)*100</f>
        <v>8.06</v>
      </c>
      <c r="D84">
        <f>(所有指标!C88-所有指标!F88)*100</f>
        <v>64.649999999999991</v>
      </c>
      <c r="E84">
        <f>所有指标!D88</f>
        <v>2.0777000000000001</v>
      </c>
      <c r="F84">
        <f>(所有指标!D88-所有指标!I88)*100</f>
        <v>42.980000000000018</v>
      </c>
      <c r="G84">
        <f>(所有指标!D88-所有指标!G88)*100</f>
        <v>8.5900000000000087</v>
      </c>
      <c r="H84">
        <f>所有指标!E88</f>
        <v>4.28</v>
      </c>
      <c r="I84" s="8">
        <f>(所有指标!E88-所有指标!H88)*100</f>
        <v>-70.000000000000014</v>
      </c>
      <c r="J84">
        <f>所有指标!T88</f>
        <v>12.48</v>
      </c>
    </row>
    <row r="85" spans="1:10">
      <c r="A85" s="7">
        <f>所有指标!A89</f>
        <v>45473</v>
      </c>
      <c r="B85">
        <f>所有指标!C89</f>
        <v>2.2926000000000002</v>
      </c>
      <c r="C85">
        <f>(所有指标!C89-所有指标!B89)*100</f>
        <v>8.680000000000021</v>
      </c>
      <c r="D85">
        <f>(所有指标!C89-所有指标!F89)*100</f>
        <v>59.880000000000024</v>
      </c>
      <c r="E85">
        <f>所有指标!D89</f>
        <v>2.0697000000000001</v>
      </c>
      <c r="F85">
        <f>(所有指标!D89-所有指标!I89)*100</f>
        <v>43.620000000000012</v>
      </c>
      <c r="G85">
        <f>(所有指标!D89-所有指标!G89)*100</f>
        <v>5.4300000000000015</v>
      </c>
      <c r="H85">
        <f>所有指标!E89</f>
        <v>4.3600000000000003</v>
      </c>
      <c r="I85" s="8">
        <f>(所有指标!E89-所有指标!H89)*100</f>
        <v>-72.999999999999957</v>
      </c>
      <c r="J85">
        <f>所有指标!T89</f>
        <v>12.44</v>
      </c>
    </row>
    <row r="86" spans="1:10">
      <c r="A86" s="7">
        <f>所有指标!A90</f>
        <v>45466</v>
      </c>
      <c r="B86">
        <f>所有指标!C90</f>
        <v>2.3431000000000002</v>
      </c>
      <c r="C86">
        <f>(所有指标!C90-所有指标!B90)*100</f>
        <v>8.6000000000000298</v>
      </c>
      <c r="D86">
        <f>(所有指标!C90-所有指标!F90)*100</f>
        <v>56.570000000000007</v>
      </c>
      <c r="E86">
        <f>所有指标!D90</f>
        <v>2.0956000000000001</v>
      </c>
      <c r="F86">
        <f>(所有指标!D90-所有指标!I90)*100</f>
        <v>40.390000000000015</v>
      </c>
      <c r="G86">
        <f>(所有指标!D90-所有指标!G90)*100</f>
        <v>7.0800000000000196</v>
      </c>
      <c r="H86">
        <f>所有指标!E90</f>
        <v>4.25</v>
      </c>
      <c r="I86" s="8">
        <f>(所有指标!E90-所有指标!H90)*100</f>
        <v>-84.999999999999972</v>
      </c>
      <c r="J86">
        <f>所有指标!T90</f>
        <v>13.2</v>
      </c>
    </row>
    <row r="87" spans="1:10">
      <c r="A87" s="7">
        <f>所有指标!A91</f>
        <v>45459</v>
      </c>
      <c r="B87">
        <f>所有指标!C91</f>
        <v>2.3325999999999998</v>
      </c>
      <c r="C87">
        <f>(所有指标!C91-所有指标!B91)*100</f>
        <v>7.6799999999999979</v>
      </c>
      <c r="D87">
        <f>(所有指标!C91-所有指标!F91)*100</f>
        <v>53.369999999999983</v>
      </c>
      <c r="E87">
        <f>所有指标!D91</f>
        <v>2.0954999999999999</v>
      </c>
      <c r="F87">
        <f>(所有指标!D91-所有指标!I91)*100</f>
        <v>31.929999999999993</v>
      </c>
      <c r="G87">
        <f>(所有指标!D91-所有指标!G91)*100</f>
        <v>7.3199999999999932</v>
      </c>
      <c r="H87">
        <f>所有指标!E91</f>
        <v>4.2</v>
      </c>
      <c r="I87" s="8">
        <f>(所有指标!E91-所有指标!H91)*100</f>
        <v>-87.000000000000014</v>
      </c>
      <c r="J87">
        <f>所有指标!T91</f>
        <v>12.66</v>
      </c>
    </row>
    <row r="88" spans="1:10">
      <c r="A88" s="7">
        <f>所有指标!A92</f>
        <v>45452</v>
      </c>
      <c r="B88">
        <f>所有指标!C92</f>
        <v>2.3691</v>
      </c>
      <c r="C88">
        <f>(所有指标!C92-所有指标!B92)*100</f>
        <v>8.5799999999999876</v>
      </c>
      <c r="D88">
        <f>(所有指标!C92-所有指标!F92)*100</f>
        <v>59.709999999999994</v>
      </c>
      <c r="E88">
        <f>所有指标!D92</f>
        <v>2.1131000000000002</v>
      </c>
      <c r="F88">
        <f>(所有指标!D92-所有指标!I92)*100</f>
        <v>34.970000000000013</v>
      </c>
      <c r="G88">
        <f>(所有指标!D92-所有指标!G92)*100</f>
        <v>7.26</v>
      </c>
      <c r="H88">
        <f>所有指标!E92</f>
        <v>4.43</v>
      </c>
      <c r="I88" s="8">
        <f>(所有指标!E92-所有指标!H92)*100</f>
        <v>-74.000000000000028</v>
      </c>
      <c r="J88">
        <f>所有指标!T92</f>
        <v>12.22</v>
      </c>
    </row>
    <row r="89" spans="1:10">
      <c r="A89" s="7">
        <f>所有指标!A93</f>
        <v>45445</v>
      </c>
      <c r="B89">
        <f>所有指标!C93</f>
        <v>2.3851</v>
      </c>
      <c r="C89">
        <f>(所有指标!C93-所有指标!B93)*100</f>
        <v>9.2499999999999805</v>
      </c>
      <c r="D89">
        <f>(所有指标!C93-所有指标!F93)*100</f>
        <v>57.69</v>
      </c>
      <c r="E89">
        <f>所有指标!D93</f>
        <v>2.1573000000000002</v>
      </c>
      <c r="F89">
        <f>(所有指标!D93-所有指标!I93)*100</f>
        <v>35.860000000000028</v>
      </c>
      <c r="G89">
        <f>(所有指标!D93-所有指标!G93)*100</f>
        <v>8.2400000000000251</v>
      </c>
      <c r="H89">
        <f>所有指标!E93</f>
        <v>4.51</v>
      </c>
      <c r="I89" s="8">
        <f>(所有指标!E93-所有指标!H93)*100</f>
        <v>-67</v>
      </c>
      <c r="J89">
        <f>所有指标!T93</f>
        <v>12.92</v>
      </c>
    </row>
    <row r="90" spans="1:10">
      <c r="A90" s="7">
        <f>所有指标!A94</f>
        <v>45438</v>
      </c>
      <c r="B90">
        <f>所有指标!C94</f>
        <v>2.38</v>
      </c>
      <c r="C90">
        <f>(所有指标!C94-所有指标!B94)*100</f>
        <v>6.659999999999977</v>
      </c>
      <c r="D90">
        <f>(所有指标!C94-所有指标!F94)*100</f>
        <v>57.879999999999995</v>
      </c>
      <c r="E90">
        <f>所有指标!D94</f>
        <v>2.1591999999999998</v>
      </c>
      <c r="F90">
        <f>(所有指标!D94-所有指标!I94)*100</f>
        <v>33.139999999999972</v>
      </c>
      <c r="G90">
        <f>(所有指标!D94-所有指标!G94)*100</f>
        <v>10.229999999999961</v>
      </c>
      <c r="H90">
        <f>所有指标!E94</f>
        <v>4.46</v>
      </c>
      <c r="I90" s="8">
        <f>(所有指标!E94-所有指标!H94)*100</f>
        <v>-75</v>
      </c>
      <c r="J90">
        <f>所有指标!T94</f>
        <v>11.93</v>
      </c>
    </row>
    <row r="91" spans="1:10">
      <c r="A91" s="7">
        <f>所有指标!A95</f>
        <v>45431</v>
      </c>
      <c r="B91">
        <f>所有指标!C95</f>
        <v>2.3824999999999998</v>
      </c>
      <c r="C91">
        <f>(所有指标!C95-所有指标!B95)*100</f>
        <v>7.4799999999999756</v>
      </c>
      <c r="D91">
        <f>(所有指标!C95-所有指标!F95)*100</f>
        <v>57.429999999999978</v>
      </c>
      <c r="E91">
        <f>所有指标!D95</f>
        <v>2.1915</v>
      </c>
      <c r="F91">
        <f>(所有指标!D95-所有指标!I95)*100</f>
        <v>35.909999999999997</v>
      </c>
      <c r="G91">
        <f>(所有指标!D95-所有指标!G95)*100</f>
        <v>12.400000000000011</v>
      </c>
      <c r="H91">
        <f>所有指标!E95</f>
        <v>4.42</v>
      </c>
      <c r="I91" s="8">
        <f>(所有指标!E95-所有指标!H95)*100</f>
        <v>-71.999999999999972</v>
      </c>
      <c r="J91">
        <f>所有指标!T95</f>
        <v>11.99</v>
      </c>
    </row>
    <row r="92" spans="1:10">
      <c r="A92" s="7">
        <f>所有指标!A96</f>
        <v>45424</v>
      </c>
      <c r="B92">
        <f>所有指标!C96</f>
        <v>2.41</v>
      </c>
      <c r="C92">
        <f>(所有指标!C96-所有指标!B96)*100</f>
        <v>7.3900000000000077</v>
      </c>
      <c r="D92">
        <f>(所有指标!C96-所有指标!F96)*100</f>
        <v>51.050000000000018</v>
      </c>
      <c r="E92">
        <f>所有指标!D96</f>
        <v>2.2595999999999998</v>
      </c>
      <c r="F92">
        <f>(所有指标!D96-所有指标!I96)*100</f>
        <v>36.659999999999982</v>
      </c>
      <c r="G92">
        <f>(所有指标!D96-所有指标!G96)*100</f>
        <v>14.659999999999984</v>
      </c>
      <c r="H92">
        <f>所有指标!E96</f>
        <v>4.5</v>
      </c>
      <c r="I92" s="8">
        <f>(所有指标!E96-所有指标!H96)*100</f>
        <v>-67</v>
      </c>
      <c r="J92">
        <f>所有指标!T96</f>
        <v>12.55</v>
      </c>
    </row>
    <row r="93" spans="1:10">
      <c r="A93" s="7">
        <f>所有指标!A97</f>
        <v>45417</v>
      </c>
      <c r="B93">
        <f>所有指标!C97</f>
        <v>2.3997999999999999</v>
      </c>
      <c r="C93">
        <f>(所有指标!C97-所有指标!B97)*100</f>
        <v>9.6999999999999975</v>
      </c>
      <c r="D93">
        <f>(所有指标!C97-所有指标!F97)*100</f>
        <v>51.079999999999991</v>
      </c>
      <c r="E93">
        <f>所有指标!D97</f>
        <v>2.3058999999999998</v>
      </c>
      <c r="F93">
        <f>(所有指标!D97-所有指标!I97)*100</f>
        <v>40.269999999999982</v>
      </c>
      <c r="G93">
        <f>(所有指标!D97-所有指标!G97)*100</f>
        <v>16.189999999999969</v>
      </c>
      <c r="H93">
        <f>所有指标!E97</f>
        <v>4.5</v>
      </c>
      <c r="I93" s="8">
        <f>(所有指标!E97-所有指标!H97)*100</f>
        <v>-62.000000000000014</v>
      </c>
      <c r="J93">
        <f>所有指标!T97</f>
        <v>13.49</v>
      </c>
    </row>
    <row r="94" spans="1:10">
      <c r="A94" s="7">
        <f>所有指标!A98</f>
        <v>45410</v>
      </c>
      <c r="B94">
        <f>所有指标!C98</f>
        <v>2.4298000000000002</v>
      </c>
      <c r="C94">
        <f>(所有指标!C98-所有指标!B98)*100</f>
        <v>10.540000000000038</v>
      </c>
      <c r="D94">
        <f>(所有指标!C98-所有指标!F98)*100</f>
        <v>53.350000000000009</v>
      </c>
      <c r="E94">
        <f>所有指标!D98</f>
        <v>2.2795000000000001</v>
      </c>
      <c r="F94">
        <f>(所有指标!D98-所有指标!I98)*100</f>
        <v>38.680000000000007</v>
      </c>
      <c r="G94">
        <f>(所有指标!D98-所有指标!G98)*100</f>
        <v>17.740000000000002</v>
      </c>
      <c r="H94">
        <f>所有指标!E98</f>
        <v>4.67</v>
      </c>
      <c r="I94" s="8">
        <f>(所有指标!E98-所有指标!H98)*100</f>
        <v>-54</v>
      </c>
      <c r="J94">
        <f>所有指标!T98</f>
        <v>15.03</v>
      </c>
    </row>
    <row r="95" spans="1:10">
      <c r="A95" s="7">
        <f>所有指标!A99</f>
        <v>45403</v>
      </c>
      <c r="B95">
        <f>所有指标!C99</f>
        <v>2.3169</v>
      </c>
      <c r="C95">
        <f>(所有指标!C99-所有指标!B99)*100</f>
        <v>6.2899999999999956</v>
      </c>
      <c r="D95">
        <f>(所有指标!C99-所有指标!F99)*100</f>
        <v>48.41</v>
      </c>
      <c r="E95">
        <f>所有指标!D99</f>
        <v>2.1993999999999998</v>
      </c>
      <c r="F95">
        <f>(所有指标!D99-所有指标!I99)*100</f>
        <v>34.839999999999982</v>
      </c>
      <c r="G95">
        <f>(所有指标!D99-所有指标!G99)*100</f>
        <v>11.409999999999965</v>
      </c>
      <c r="H95">
        <f>所有指标!E99</f>
        <v>4.62</v>
      </c>
      <c r="I95" s="8">
        <f>(所有指标!E99-所有指标!H99)*100</f>
        <v>-54.999999999999986</v>
      </c>
      <c r="J95">
        <f>所有指标!T99</f>
        <v>18.71</v>
      </c>
    </row>
    <row r="96" spans="1:10">
      <c r="A96" s="7">
        <f>所有指标!A100</f>
        <v>45396</v>
      </c>
      <c r="B96">
        <f>所有指标!C100</f>
        <v>2.3965000000000001</v>
      </c>
      <c r="C96">
        <f>(所有指标!C100-所有指标!B100)*100</f>
        <v>11.280000000000001</v>
      </c>
      <c r="D96">
        <f>(所有指标!C100-所有指标!F100)*100</f>
        <v>58.48</v>
      </c>
      <c r="E96">
        <f>所有指标!D100</f>
        <v>2.2793000000000001</v>
      </c>
      <c r="F96">
        <f>(所有指标!D100-所有指标!I100)*100</f>
        <v>43.280000000000008</v>
      </c>
      <c r="G96">
        <f>(所有指标!D100-所有指标!G100)*100</f>
        <v>12.380000000000013</v>
      </c>
      <c r="H96">
        <f>所有指标!E100</f>
        <v>4.5</v>
      </c>
      <c r="I96" s="8">
        <f>(所有指标!E100-所有指标!H100)*100</f>
        <v>-62.999999999999986</v>
      </c>
      <c r="J96">
        <f>所有指标!T100</f>
        <v>17.309999999999999</v>
      </c>
    </row>
    <row r="97" spans="1:10">
      <c r="A97" s="7">
        <f>所有指标!A101</f>
        <v>45389</v>
      </c>
      <c r="B97">
        <f>所有指标!C101</f>
        <v>2.4123000000000001</v>
      </c>
      <c r="C97">
        <f>(所有指标!C101-所有指标!B101)*100</f>
        <v>11.860000000000026</v>
      </c>
      <c r="D97">
        <f>(所有指标!C101-所有指标!F101)*100</f>
        <v>58.140000000000015</v>
      </c>
      <c r="E97">
        <f>所有指标!D101</f>
        <v>2.3925999999999998</v>
      </c>
      <c r="F97">
        <f>(所有指标!D101-所有指标!I101)*100</f>
        <v>50.399999999999977</v>
      </c>
      <c r="G97">
        <f>(所有指标!D101-所有指标!G101)*100</f>
        <v>10.749999999999993</v>
      </c>
      <c r="H97">
        <f>所有指标!E101</f>
        <v>4.3899999999999997</v>
      </c>
      <c r="I97" s="8">
        <f>(所有指标!E101-所有指标!H101)*100</f>
        <v>-66.000000000000014</v>
      </c>
      <c r="J97">
        <f>所有指标!T101</f>
        <v>16.03</v>
      </c>
    </row>
    <row r="98" spans="1:10">
      <c r="A98" s="7">
        <f>所有指标!A102</f>
        <v>45382</v>
      </c>
      <c r="B98">
        <f>所有指标!C102</f>
        <v>2.4106000000000001</v>
      </c>
      <c r="C98">
        <f>(所有指标!C102-所有指标!B102)*100</f>
        <v>12.050000000000027</v>
      </c>
      <c r="D98">
        <f>(所有指标!C102-所有指标!F102)*100</f>
        <v>57.02</v>
      </c>
      <c r="E98">
        <f>所有指标!D102</f>
        <v>2.4220000000000002</v>
      </c>
      <c r="F98">
        <f>(所有指标!D102-所有指标!I102)*100</f>
        <v>52.030000000000022</v>
      </c>
      <c r="G98">
        <f>(所有指标!D102-所有指标!G102)*100</f>
        <v>9.5600000000000129</v>
      </c>
      <c r="H98">
        <f>所有指标!E102</f>
        <v>4.2</v>
      </c>
      <c r="I98" s="8">
        <f>(所有指标!E102-所有指标!H102)*100</f>
        <v>-83</v>
      </c>
      <c r="J98">
        <f>所有指标!T102</f>
        <v>13.01</v>
      </c>
    </row>
    <row r="99" spans="1:10">
      <c r="A99" s="7">
        <f>所有指标!A103</f>
        <v>45375</v>
      </c>
      <c r="B99">
        <f>所有指标!C103</f>
        <v>2.4182000000000001</v>
      </c>
      <c r="C99">
        <f>(所有指标!C103-所有指标!B103)*100</f>
        <v>11.31000000000002</v>
      </c>
      <c r="D99">
        <f>(所有指标!C103-所有指标!F103)*100</f>
        <v>50.490000000000009</v>
      </c>
      <c r="E99">
        <f>所有指标!D103</f>
        <v>2.4525999999999999</v>
      </c>
      <c r="F99">
        <f>(所有指标!D103-所有指标!I103)*100</f>
        <v>47.34999999999998</v>
      </c>
      <c r="G99">
        <f>(所有指标!D103-所有指标!G103)*100</f>
        <v>11.289999999999978</v>
      </c>
      <c r="H99">
        <f>所有指标!E103</f>
        <v>4.22</v>
      </c>
      <c r="I99" s="8">
        <f>(所有指标!E103-所有指标!H103)*100</f>
        <v>-76.000000000000071</v>
      </c>
      <c r="J99">
        <f>所有指标!T103</f>
        <v>13.06</v>
      </c>
    </row>
    <row r="100" spans="1:10">
      <c r="A100" s="7">
        <f>所有指标!A104</f>
        <v>45368</v>
      </c>
      <c r="B100">
        <f>所有指标!C104</f>
        <v>2.4405999999999999</v>
      </c>
      <c r="C100">
        <f>(所有指标!C104-所有指标!B104)*100</f>
        <v>12.060000000000004</v>
      </c>
      <c r="D100">
        <f>(所有指标!C104-所有指标!F104)*100</f>
        <v>53.409999999999982</v>
      </c>
      <c r="E100">
        <f>所有指标!D104</f>
        <v>2.4954999999999998</v>
      </c>
      <c r="F100">
        <f>(所有指标!D104-所有指标!I104)*100</f>
        <v>41.449999999999989</v>
      </c>
      <c r="G100">
        <f>(所有指标!D104-所有指标!G104)*100</f>
        <v>11.629999999999985</v>
      </c>
      <c r="H100">
        <f>所有指标!E104</f>
        <v>4.3099999999999996</v>
      </c>
      <c r="I100" s="8">
        <f>(所有指标!E104-所有指标!H104)*100</f>
        <v>-74.000000000000028</v>
      </c>
      <c r="J100">
        <f>所有指标!T104</f>
        <v>14.41</v>
      </c>
    </row>
    <row r="101" spans="1:10">
      <c r="A101" s="7">
        <f>所有指标!A105</f>
        <v>45361</v>
      </c>
      <c r="B101">
        <f>所有指标!C105</f>
        <v>2.3854000000000002</v>
      </c>
      <c r="C101">
        <f>(所有指标!C105-所有指标!B105)*100</f>
        <v>10.29</v>
      </c>
      <c r="D101">
        <f>(所有指标!C105-所有指标!F105)*100</f>
        <v>55.47000000000002</v>
      </c>
      <c r="E101">
        <f>所有指标!D105</f>
        <v>2.3946999999999998</v>
      </c>
      <c r="F101">
        <f>(所有指标!D105-所有指标!I105)*100</f>
        <v>33.299999999999976</v>
      </c>
      <c r="G101">
        <f>(所有指标!D105-所有指标!G105)*100</f>
        <v>9.4599999999999795</v>
      </c>
      <c r="H101">
        <f>所有指标!E105</f>
        <v>4.09</v>
      </c>
      <c r="I101" s="8">
        <f>(所有指标!E105-所有指标!H105)*100</f>
        <v>-83</v>
      </c>
      <c r="J101">
        <f>所有指标!T105</f>
        <v>14.74</v>
      </c>
    </row>
    <row r="102" spans="1:10">
      <c r="A102" s="7">
        <f>所有指标!A106</f>
        <v>45354</v>
      </c>
      <c r="B102">
        <f>所有指标!C106</f>
        <v>2.4876</v>
      </c>
      <c r="C102">
        <f>(所有指标!C106-所有指标!B106)*100</f>
        <v>12.009999999999987</v>
      </c>
      <c r="D102">
        <f>(所有指标!C106-所有指标!F106)*100</f>
        <v>64.87</v>
      </c>
      <c r="E102">
        <f>所有指标!D106</f>
        <v>2.4140999999999999</v>
      </c>
      <c r="F102">
        <f>(所有指标!D106-所有指标!I106)*100</f>
        <v>31.769999999999989</v>
      </c>
      <c r="G102">
        <f>(所有指标!D106-所有指标!G106)*100</f>
        <v>11.680000000000001</v>
      </c>
      <c r="H102">
        <f>所有指标!E106</f>
        <v>4.1900000000000004</v>
      </c>
      <c r="I102" s="8">
        <f>(所有指标!E106-所有指标!H106)*100</f>
        <v>-75</v>
      </c>
      <c r="J102">
        <f>所有指标!T106</f>
        <v>13.11</v>
      </c>
    </row>
    <row r="103" spans="1:10">
      <c r="A103" s="7">
        <f>所有指标!A107</f>
        <v>45347</v>
      </c>
      <c r="B103">
        <f>所有指标!C107</f>
        <v>2.5550999999999999</v>
      </c>
      <c r="C103">
        <f>(所有指标!C107-所有指标!B107)*100</f>
        <v>15.419999999999989</v>
      </c>
      <c r="D103">
        <f>(所有指标!C107-所有指标!F107)*100</f>
        <v>67.11</v>
      </c>
      <c r="E103">
        <f>所有指标!D107</f>
        <v>2.4478</v>
      </c>
      <c r="F103">
        <f>(所有指标!D107-所有指标!I107)*100</f>
        <v>36.909999999999997</v>
      </c>
      <c r="G103">
        <f>(所有指标!D107-所有指标!G107)*100</f>
        <v>14.340000000000019</v>
      </c>
      <c r="H103">
        <f>所有指标!E107</f>
        <v>4.26</v>
      </c>
      <c r="I103" s="8">
        <f>(所有指标!E107-所有指标!H107)*100</f>
        <v>-74.000000000000028</v>
      </c>
      <c r="J103">
        <f>所有指标!T107</f>
        <v>13.75</v>
      </c>
    </row>
    <row r="104" spans="1:10">
      <c r="A104" s="7">
        <f>所有指标!A108</f>
        <v>45340</v>
      </c>
      <c r="B104">
        <f>所有指标!C108</f>
        <v>2.6051000000000002</v>
      </c>
      <c r="C104">
        <f>(所有指标!C108-所有指标!B108)*100</f>
        <v>16.580000000000041</v>
      </c>
      <c r="D104">
        <f>(所有指标!C108-所有指标!F108)*100</f>
        <v>54.980000000000032</v>
      </c>
      <c r="E104">
        <f>所有指标!D108</f>
        <v>2.4990000000000001</v>
      </c>
      <c r="F104">
        <f>(所有指标!D108-所有指标!I108)*100</f>
        <v>34.68</v>
      </c>
      <c r="G104">
        <f>(所有指标!D108-所有指标!G108)*100</f>
        <v>10.740000000000016</v>
      </c>
      <c r="H104">
        <f>所有指标!E108</f>
        <v>4.3</v>
      </c>
      <c r="I104" s="8">
        <f>(所有指标!E108-所有指标!H108)*100</f>
        <v>-68.000000000000057</v>
      </c>
      <c r="J104">
        <f>所有指标!T108</f>
        <v>14.71</v>
      </c>
    </row>
    <row r="105" spans="1:10">
      <c r="A105" s="7">
        <f>所有指标!A109</f>
        <v>45333</v>
      </c>
      <c r="B105">
        <f>所有指标!C109</f>
        <v>2.6051000000000002</v>
      </c>
      <c r="C105">
        <f>(所有指标!C109-所有指标!B109)*100</f>
        <v>17.490000000000006</v>
      </c>
      <c r="D105">
        <f>(所有指标!C109-所有指标!F109)*100</f>
        <v>55.110000000000035</v>
      </c>
      <c r="E105">
        <f>所有指标!D109</f>
        <v>2.4973000000000001</v>
      </c>
      <c r="F105">
        <f>(所有指标!D109-所有指标!I109)*100</f>
        <v>34.77000000000001</v>
      </c>
      <c r="G105">
        <f>(所有指标!D109-所有指标!G109)*100</f>
        <v>10.040000000000004</v>
      </c>
      <c r="H105">
        <f>所有指标!E109</f>
        <v>4.17</v>
      </c>
      <c r="I105" s="8">
        <f>(所有指标!E109-所有指标!H109)*100</f>
        <v>-69.000000000000043</v>
      </c>
      <c r="J105">
        <f>所有指标!T109</f>
        <v>12.93</v>
      </c>
    </row>
    <row r="106" spans="1:10">
      <c r="A106" s="7">
        <f>所有指标!A110</f>
        <v>45326</v>
      </c>
      <c r="B106">
        <f>所有指标!C110</f>
        <v>2.5741000000000001</v>
      </c>
      <c r="C106">
        <f>(所有指标!C110-所有指标!B110)*100</f>
        <v>16.880000000000006</v>
      </c>
      <c r="D106">
        <f>(所有指标!C110-所有指标!F110)*100</f>
        <v>49.060000000000016</v>
      </c>
      <c r="E106">
        <f>所有指标!D110</f>
        <v>2.5287000000000002</v>
      </c>
      <c r="F106">
        <f>(所有指标!D110-所有指标!I110)*100</f>
        <v>41.769999999999996</v>
      </c>
      <c r="G106">
        <f>(所有指标!D110-所有指标!G110)*100</f>
        <v>10.41000000000003</v>
      </c>
      <c r="H106">
        <f>所有指标!E110</f>
        <v>4.03</v>
      </c>
      <c r="I106" s="8">
        <f>(所有指标!E110-所有指标!H110)*100</f>
        <v>-77.999999999999943</v>
      </c>
      <c r="J106">
        <f>所有指标!T110</f>
        <v>13.85</v>
      </c>
    </row>
    <row r="107" spans="1:10">
      <c r="A107" s="7">
        <f>所有指标!A111</f>
        <v>45319</v>
      </c>
      <c r="B107">
        <f>所有指标!C111</f>
        <v>2.6475</v>
      </c>
      <c r="C107">
        <f>(所有指标!C111-所有指标!B111)*100</f>
        <v>14.80999999999999</v>
      </c>
      <c r="D107">
        <f>(所有指标!C111-所有指标!F111)*100</f>
        <v>46.910000000000011</v>
      </c>
      <c r="E107">
        <f>所有指标!D111</f>
        <v>2.6236000000000002</v>
      </c>
      <c r="F107">
        <f>(所有指标!D111-所有指标!I111)*100</f>
        <v>43.470000000000027</v>
      </c>
      <c r="G107">
        <f>(所有指标!D111-所有指标!G111)*100</f>
        <v>11.360000000000037</v>
      </c>
      <c r="H107">
        <f>所有指标!E111</f>
        <v>4.1500000000000004</v>
      </c>
      <c r="I107" s="8">
        <f>(所有指标!E111-所有指标!H111)*100</f>
        <v>-62.999999999999986</v>
      </c>
      <c r="J107">
        <f>所有指标!T111</f>
        <v>13.26</v>
      </c>
    </row>
    <row r="108" spans="1:10">
      <c r="A108" s="7">
        <f>所有指标!A112</f>
        <v>45312</v>
      </c>
      <c r="B108">
        <f>所有指标!C112</f>
        <v>2.6349999999999998</v>
      </c>
      <c r="C108">
        <f>(所有指标!C112-所有指标!B112)*100</f>
        <v>13.229999999999986</v>
      </c>
      <c r="D108">
        <f>(所有指标!C112-所有指标!F112)*100</f>
        <v>44.95999999999998</v>
      </c>
      <c r="E108">
        <f>所有指标!D112</f>
        <v>2.645</v>
      </c>
      <c r="F108">
        <f>(所有指标!D112-所有指标!I112)*100</f>
        <v>40.580000000000013</v>
      </c>
      <c r="G108">
        <f>(所有指标!D112-所有指标!G112)*100</f>
        <v>12.219999999999986</v>
      </c>
      <c r="H108">
        <f>所有指标!E112</f>
        <v>4.1500000000000004</v>
      </c>
      <c r="I108" s="8">
        <f>(所有指标!E112-所有指标!H112)*100</f>
        <v>-68.999999999999943</v>
      </c>
      <c r="J108">
        <f>所有指标!T112</f>
        <v>13.3</v>
      </c>
    </row>
    <row r="109" spans="1:10">
      <c r="A109" s="7">
        <f>所有指标!A113</f>
        <v>45305</v>
      </c>
      <c r="B109">
        <f>所有指标!C113</f>
        <v>2.65</v>
      </c>
      <c r="C109">
        <f>(所有指标!C113-所有指标!B113)*100</f>
        <v>13.280000000000003</v>
      </c>
      <c r="D109">
        <f>(所有指标!C113-所有指标!F113)*100</f>
        <v>43.100000000000009</v>
      </c>
      <c r="E109">
        <f>所有指标!D113</f>
        <v>2.6524999999999999</v>
      </c>
      <c r="F109">
        <f>(所有指标!D113-所有指标!I113)*100</f>
        <v>40.97</v>
      </c>
      <c r="G109">
        <f>(所有指标!D113-所有指标!G113)*100</f>
        <v>12.829999999999986</v>
      </c>
      <c r="H109">
        <f>所有指标!E113</f>
        <v>3.96</v>
      </c>
      <c r="I109" s="8">
        <f>(所有指标!E113-所有指标!H113)*100</f>
        <v>-69.000000000000043</v>
      </c>
      <c r="J109">
        <f>所有指标!T113</f>
        <v>12.7</v>
      </c>
    </row>
    <row r="110" spans="1:10">
      <c r="A110" s="7">
        <f>所有指标!A114</f>
        <v>45298</v>
      </c>
      <c r="B110">
        <f>所有指标!C114</f>
        <v>2.6991999999999998</v>
      </c>
      <c r="C110">
        <f>(所有指标!C114-所有指标!B114)*100</f>
        <v>18.169999999999973</v>
      </c>
      <c r="D110">
        <f>(所有指标!C114-所有指标!F114)*100</f>
        <v>45.64999999999997</v>
      </c>
      <c r="E110">
        <f>所有指标!D114</f>
        <v>2.6549999999999998</v>
      </c>
      <c r="F110">
        <f>(所有指标!D114-所有指标!I114)*100</f>
        <v>41.809999999999988</v>
      </c>
      <c r="G110">
        <f>(所有指标!D114-所有指标!G114)*100</f>
        <v>11.529999999999996</v>
      </c>
      <c r="H110">
        <f>所有指标!E114</f>
        <v>4.05</v>
      </c>
      <c r="I110" s="8">
        <f>(所有指标!E114-所有指标!H114)*100</f>
        <v>-79</v>
      </c>
      <c r="J110">
        <f>所有指标!T114</f>
        <v>13.35</v>
      </c>
    </row>
    <row r="111" spans="1:10">
      <c r="A111" s="7">
        <f>所有指标!A115</f>
        <v>45291</v>
      </c>
      <c r="B111">
        <f>所有指标!C115</f>
        <v>2.6796000000000002</v>
      </c>
      <c r="C111">
        <f>(所有指标!C115-所有指标!B115)*100</f>
        <v>12.43000000000003</v>
      </c>
      <c r="D111">
        <f>(所有指标!C115-所有指标!F115)*100</f>
        <v>48.030000000000015</v>
      </c>
      <c r="E111">
        <f>所有指标!D115</f>
        <v>2.6646000000000001</v>
      </c>
      <c r="F111">
        <f>(所有指标!D115-所有指标!I115)*100</f>
        <v>45.480000000000011</v>
      </c>
      <c r="G111">
        <f>(所有指标!D115-所有指标!G115)*100</f>
        <v>14.190000000000014</v>
      </c>
      <c r="H111">
        <f>所有指标!E115</f>
        <v>3.88</v>
      </c>
      <c r="I111" s="8">
        <f>(所有指标!E115-所有指标!H115)*100</f>
        <v>-91.000000000000014</v>
      </c>
      <c r="J111">
        <f>所有指标!T115</f>
        <v>12.45</v>
      </c>
    </row>
    <row r="112" spans="1:10">
      <c r="A112" s="7">
        <f>所有指标!A116</f>
        <v>45284</v>
      </c>
      <c r="B112">
        <f>所有指标!C116</f>
        <v>2.7221000000000002</v>
      </c>
      <c r="C112">
        <f>(所有指标!C116-所有指标!B116)*100</f>
        <v>13.44000000000003</v>
      </c>
      <c r="D112">
        <f>(所有指标!C116-所有指标!F116)*100</f>
        <v>34.130000000000038</v>
      </c>
      <c r="E112">
        <f>所有指标!D116</f>
        <v>2.7879999999999998</v>
      </c>
      <c r="F112">
        <f>(所有指标!D116-所有指标!I116)*100</f>
        <v>46.669999999999987</v>
      </c>
      <c r="G112">
        <f>(所有指标!D116-所有指标!G116)*100</f>
        <v>7.0799999999999752</v>
      </c>
      <c r="H112">
        <f>所有指标!E116</f>
        <v>3.9</v>
      </c>
      <c r="I112" s="8">
        <f>(所有指标!E116-所有指标!H116)*100</f>
        <v>-92.000000000000043</v>
      </c>
      <c r="J112">
        <f>所有指标!T116</f>
        <v>13.03</v>
      </c>
    </row>
    <row r="113" spans="1:10">
      <c r="A113" s="7">
        <f>所有指标!A117</f>
        <v>45277</v>
      </c>
      <c r="B113">
        <f>所有指标!C117</f>
        <v>2.7284999999999999</v>
      </c>
      <c r="C113">
        <f>(所有指标!C117-所有指标!B117)*100</f>
        <v>10.579999999999989</v>
      </c>
      <c r="D113">
        <f>(所有指标!C117-所有指标!F117)*100</f>
        <v>32.77000000000001</v>
      </c>
      <c r="E113">
        <f>所有指标!D117</f>
        <v>2.8447</v>
      </c>
      <c r="F113">
        <f>(所有指标!D117-所有指标!I117)*100</f>
        <v>50.450000000000017</v>
      </c>
      <c r="G113">
        <f>(所有指标!D117-所有指标!G117)*100</f>
        <v>7.6400000000000023</v>
      </c>
      <c r="H113">
        <f>所有指标!E117</f>
        <v>3.91</v>
      </c>
      <c r="I113" s="8">
        <f>(所有指标!E117-所有指标!H117)*100</f>
        <v>-104</v>
      </c>
      <c r="J113">
        <f>所有指标!T117</f>
        <v>12.28</v>
      </c>
    </row>
    <row r="114" spans="1:10">
      <c r="A114" s="7">
        <f>所有指标!A118</f>
        <v>45270</v>
      </c>
      <c r="B114">
        <f>所有指标!C118</f>
        <v>2.7732999999999999</v>
      </c>
      <c r="C114">
        <f>(所有指标!C118-所有指标!B118)*100</f>
        <v>10.969999999999969</v>
      </c>
      <c r="D114">
        <f>(所有指标!C118-所有指标!F118)*100</f>
        <v>24.759999999999984</v>
      </c>
      <c r="E114">
        <f>所有指标!D118</f>
        <v>2.9567000000000001</v>
      </c>
      <c r="F114">
        <f>(所有指标!D118-所有指标!I118)*100</f>
        <v>51.920000000000009</v>
      </c>
      <c r="G114">
        <f>(所有指标!D118-所有指标!G118)*100</f>
        <v>12.070000000000025</v>
      </c>
      <c r="H114">
        <f>所有指标!E118</f>
        <v>4.2300000000000004</v>
      </c>
      <c r="I114" s="8">
        <f>(所有指标!E118-所有指标!H118)*100</f>
        <v>-89.999999999999943</v>
      </c>
      <c r="J114">
        <f>所有指标!T118</f>
        <v>12.35</v>
      </c>
    </row>
    <row r="115" spans="1:10">
      <c r="A115" s="7">
        <f>所有指标!A119</f>
        <v>45263</v>
      </c>
      <c r="B115">
        <f>所有指标!C119</f>
        <v>2.7677</v>
      </c>
      <c r="C115">
        <f>(所有指标!C119-所有指标!B119)*100</f>
        <v>10.519999999999996</v>
      </c>
      <c r="D115">
        <f>(所有指标!C119-所有指标!F119)*100</f>
        <v>26.670000000000016</v>
      </c>
      <c r="E115">
        <f>所有指标!D119</f>
        <v>2.8885999999999998</v>
      </c>
      <c r="F115">
        <f>(所有指标!D119-所有指标!I119)*100</f>
        <v>47.16999999999998</v>
      </c>
      <c r="G115">
        <f>(所有指标!D119-所有指标!G119)*100</f>
        <v>13.329999999999975</v>
      </c>
      <c r="H115">
        <f>所有指标!E119</f>
        <v>4.22</v>
      </c>
      <c r="I115" s="8">
        <f>(所有指标!E119-所有指标!H119)*100</f>
        <v>-83</v>
      </c>
      <c r="J115">
        <f>所有指标!T119</f>
        <v>12.63</v>
      </c>
    </row>
    <row r="116" spans="1:10">
      <c r="A116" s="7">
        <f>所有指标!A120</f>
        <v>45256</v>
      </c>
      <c r="B116">
        <f>所有指标!C120</f>
        <v>2.7706</v>
      </c>
      <c r="C116">
        <f>(所有指标!C120-所有指标!B120)*100</f>
        <v>6.5300000000000136</v>
      </c>
      <c r="D116">
        <f>(所有指标!C120-所有指标!F120)*100</f>
        <v>29.02999999999998</v>
      </c>
      <c r="E116">
        <f>所有指标!D120</f>
        <v>2.8437000000000001</v>
      </c>
      <c r="F116">
        <f>(所有指标!D120-所有指标!I120)*100</f>
        <v>38.739999999999995</v>
      </c>
      <c r="G116">
        <f>(所有指标!D120-所有指标!G120)*100</f>
        <v>12.369999999999992</v>
      </c>
      <c r="H116">
        <f>所有指标!E120</f>
        <v>4.47</v>
      </c>
      <c r="I116" s="8">
        <f>(所有指标!E120-所有指标!H120)*100</f>
        <v>-79.999999999999986</v>
      </c>
      <c r="J116">
        <f>所有指标!T120</f>
        <v>12.46</v>
      </c>
    </row>
    <row r="117" spans="1:10">
      <c r="A117" s="7">
        <f>所有指标!A121</f>
        <v>45249</v>
      </c>
      <c r="B117">
        <f>所有指标!C121</f>
        <v>2.7132000000000001</v>
      </c>
      <c r="C117">
        <f>(所有指标!C121-所有指标!B121)*100</f>
        <v>6.0799999999999965</v>
      </c>
      <c r="D117">
        <f>(所有指标!C121-所有指标!F121)*100</f>
        <v>33.309999999999995</v>
      </c>
      <c r="E117">
        <f>所有指标!D121</f>
        <v>2.8094000000000001</v>
      </c>
      <c r="F117">
        <f>(所有指标!D121-所有指标!I121)*100</f>
        <v>46.710000000000029</v>
      </c>
      <c r="G117">
        <f>(所有指标!D121-所有指标!G121)*100</f>
        <v>13.090000000000002</v>
      </c>
      <c r="H117">
        <f>所有指标!E121</f>
        <v>4.4400000000000004</v>
      </c>
      <c r="I117" s="8">
        <f>(所有指标!E121-所有指标!H121)*100</f>
        <v>-79.999999999999986</v>
      </c>
      <c r="J117">
        <f>所有指标!T121</f>
        <v>13.8</v>
      </c>
    </row>
    <row r="118" spans="1:10">
      <c r="A118" s="7">
        <f>所有指标!A122</f>
        <v>45242</v>
      </c>
      <c r="B118">
        <f>所有指标!C122</f>
        <v>2.7081</v>
      </c>
      <c r="C118">
        <f>(所有指标!C122-所有指标!B122)*100</f>
        <v>6.3699999999999868</v>
      </c>
      <c r="D118">
        <f>(所有指标!C122-所有指标!F122)*100</f>
        <v>28.810000000000002</v>
      </c>
      <c r="E118">
        <f>所有指标!D122</f>
        <v>2.8330000000000002</v>
      </c>
      <c r="F118">
        <f>(所有指标!D122-所有指标!I122)*100</f>
        <v>45.220000000000041</v>
      </c>
      <c r="G118">
        <f>(所有指标!D122-所有指标!G122)*100</f>
        <v>14.680000000000026</v>
      </c>
      <c r="H118">
        <f>所有指标!E122</f>
        <v>4.6100000000000003</v>
      </c>
      <c r="I118" s="8">
        <f>(所有指标!E122-所有指标!H122)*100</f>
        <v>-76.999999999999957</v>
      </c>
      <c r="J118">
        <f>所有指标!T122</f>
        <v>14.17</v>
      </c>
    </row>
    <row r="119" spans="1:10">
      <c r="A119" s="7">
        <f>所有指标!A123</f>
        <v>45235</v>
      </c>
      <c r="B119">
        <f>所有指标!C123</f>
        <v>2.7153999999999998</v>
      </c>
      <c r="C119">
        <f>(所有指标!C123-所有指标!B123)*100</f>
        <v>5.4099999999999593</v>
      </c>
      <c r="D119">
        <f>(所有指标!C123-所有指标!F123)*100</f>
        <v>32.189999999999984</v>
      </c>
      <c r="E119">
        <f>所有指标!D123</f>
        <v>2.8155999999999999</v>
      </c>
      <c r="F119">
        <f>(所有指标!D123-所有指标!I123)*100</f>
        <v>44.429999999999971</v>
      </c>
      <c r="G119">
        <f>(所有指标!D123-所有指标!G123)*100</f>
        <v>13.989999999999991</v>
      </c>
      <c r="H119">
        <f>所有指标!E123</f>
        <v>4.57</v>
      </c>
      <c r="I119" s="8">
        <f>(所有指标!E123-所有指标!H123)*100</f>
        <v>-71.999999999999972</v>
      </c>
      <c r="J119">
        <f>所有指标!T123</f>
        <v>14.91</v>
      </c>
    </row>
    <row r="120" spans="1:10">
      <c r="A120" s="7">
        <f>所有指标!A124</f>
        <v>45228</v>
      </c>
      <c r="B120">
        <f>所有指标!C124</f>
        <v>2.7477999999999998</v>
      </c>
      <c r="C120">
        <f>(所有指标!C124-所有指标!B124)*100</f>
        <v>3.4499999999999975</v>
      </c>
      <c r="D120">
        <f>(所有指标!C124-所有指标!F124)*100</f>
        <v>35.179999999999993</v>
      </c>
      <c r="E120">
        <f>所有指标!D124</f>
        <v>2.823</v>
      </c>
      <c r="F120">
        <f>(所有指标!D124-所有指标!I124)*100</f>
        <v>43.949999999999974</v>
      </c>
      <c r="G120">
        <f>(所有指标!D124-所有指标!G124)*100</f>
        <v>11.919999999999975</v>
      </c>
      <c r="H120">
        <f>所有指标!E124</f>
        <v>4.84</v>
      </c>
      <c r="I120" s="8">
        <f>(所有指标!E124-所有指标!H124)*100</f>
        <v>-54.999999999999986</v>
      </c>
      <c r="J120">
        <f>所有指标!T124</f>
        <v>21.27</v>
      </c>
    </row>
    <row r="121" spans="1:10">
      <c r="A121" s="7">
        <f>所有指标!A125</f>
        <v>45221</v>
      </c>
      <c r="B121">
        <f>所有指标!C125</f>
        <v>2.7576999999999998</v>
      </c>
      <c r="C121">
        <f>(所有指标!C125-所有指标!B125)*100</f>
        <v>5.2499999999999769</v>
      </c>
      <c r="D121">
        <f>(所有指标!C125-所有指标!F125)*100</f>
        <v>30.41999999999998</v>
      </c>
      <c r="E121">
        <f>所有指标!D125</f>
        <v>2.8262</v>
      </c>
      <c r="F121">
        <f>(所有指标!D125-所有指标!I125)*100</f>
        <v>40.120000000000019</v>
      </c>
      <c r="G121">
        <f>(所有指标!D125-所有指标!G125)*100</f>
        <v>13.969999999999994</v>
      </c>
      <c r="H121">
        <f>所有指标!E125</f>
        <v>4.93</v>
      </c>
      <c r="I121" s="8">
        <f>(所有指标!E125-所有指标!H125)*100</f>
        <v>-48.000000000000043</v>
      </c>
      <c r="J121">
        <f>所有指标!T125</f>
        <v>21.71</v>
      </c>
    </row>
    <row r="122" spans="1:10">
      <c r="A122" s="7">
        <f>所有指标!A126</f>
        <v>45214</v>
      </c>
      <c r="B122">
        <f>所有指标!C126</f>
        <v>2.7302</v>
      </c>
      <c r="C122">
        <f>(所有指标!C126-所有指标!B126)*100</f>
        <v>6.0000000000000053</v>
      </c>
      <c r="D122">
        <f>(所有指标!C126-所有指标!F126)*100</f>
        <v>42.559999999999974</v>
      </c>
      <c r="E122">
        <f>所有指标!D126</f>
        <v>2.7576999999999998</v>
      </c>
      <c r="F122">
        <f>(所有指标!D126-所有指标!I126)*100</f>
        <v>40.959999999999972</v>
      </c>
      <c r="G122">
        <f>(所有指标!D126-所有指标!G126)*100</f>
        <v>16.28999999999996</v>
      </c>
      <c r="H122">
        <f>所有指标!E126</f>
        <v>4.63</v>
      </c>
      <c r="I122" s="8">
        <f>(所有指标!E126-所有指标!H126)*100</f>
        <v>-78.000000000000028</v>
      </c>
      <c r="J122">
        <f>所有指标!T126</f>
        <v>19.32</v>
      </c>
    </row>
    <row r="123" spans="1:10">
      <c r="A123" s="7">
        <f>所有指标!A127</f>
        <v>45207</v>
      </c>
      <c r="B123">
        <f>所有指标!C127</f>
        <v>2.7351000000000001</v>
      </c>
      <c r="C123">
        <f>(所有指标!C127-所有指标!B127)*100</f>
        <v>7.2500000000000231</v>
      </c>
      <c r="D123">
        <f>(所有指标!C127-所有指标!F127)*100</f>
        <v>49.950000000000031</v>
      </c>
      <c r="E123">
        <f>所有指标!D127</f>
        <v>2.7046999999999999</v>
      </c>
      <c r="F123">
        <f>(所有指标!D127-所有指标!I127)*100</f>
        <v>44.280000000000008</v>
      </c>
      <c r="G123">
        <f>(所有指标!D127-所有指标!G127)*100</f>
        <v>16.809999999999992</v>
      </c>
      <c r="H123">
        <f>所有指标!E127</f>
        <v>4.78</v>
      </c>
      <c r="I123" s="8">
        <f>(所有指标!E127-所有指标!H127)*100</f>
        <v>-64.999999999999943</v>
      </c>
      <c r="J123">
        <f>所有指标!T127</f>
        <v>17.45</v>
      </c>
    </row>
    <row r="124" spans="1:10">
      <c r="A124" s="7">
        <f>所有指标!A128</f>
        <v>45200</v>
      </c>
      <c r="B124">
        <f>所有指标!C128</f>
        <v>2.74</v>
      </c>
      <c r="C124">
        <f>(所有指标!C128-所有指标!B128)*100</f>
        <v>6.490000000000018</v>
      </c>
      <c r="D124">
        <f>(所有指标!C128-所有指标!F128)*100</f>
        <v>48.290000000000035</v>
      </c>
      <c r="E124">
        <f>所有指标!D128</f>
        <v>2.7191000000000001</v>
      </c>
      <c r="F124">
        <f>(所有指标!D128-所有指标!I128)*100</f>
        <v>44.320000000000007</v>
      </c>
      <c r="G124">
        <f>(所有指标!D128-所有指标!G128)*100</f>
        <v>16.809999999999992</v>
      </c>
      <c r="H124">
        <f>所有指标!E128</f>
        <v>4.59</v>
      </c>
      <c r="I124" s="8">
        <f>(所有指标!E128-所有指标!H128)*100</f>
        <v>-87.000000000000014</v>
      </c>
      <c r="J124">
        <f>所有指标!T128</f>
        <v>17.52</v>
      </c>
    </row>
    <row r="125" spans="1:10">
      <c r="A125" s="7">
        <f>所有指标!A129</f>
        <v>45193</v>
      </c>
      <c r="B125">
        <f>所有指标!C129</f>
        <v>2.7450000000000001</v>
      </c>
      <c r="C125">
        <f>(所有指标!C129-所有指标!B129)*100</f>
        <v>6.7400000000000126</v>
      </c>
      <c r="D125">
        <f>(所有指标!C129-所有指标!F129)*100</f>
        <v>46.120000000000026</v>
      </c>
      <c r="E125">
        <f>所有指标!D129</f>
        <v>2.6896</v>
      </c>
      <c r="F125">
        <f>(所有指标!D129-所有指标!I129)*100</f>
        <v>40.53</v>
      </c>
      <c r="G125">
        <f>(所有指标!D129-所有指标!G129)*100</f>
        <v>15.059999999999985</v>
      </c>
      <c r="H125">
        <f>所有指标!E129</f>
        <v>4.4400000000000004</v>
      </c>
      <c r="I125" s="8">
        <f>(所有指标!E129-所有指标!H129)*100</f>
        <v>-101.99999999999996</v>
      </c>
      <c r="J125">
        <f>所有指标!T129</f>
        <v>17.2</v>
      </c>
    </row>
    <row r="126" spans="1:10">
      <c r="A126" s="7">
        <f>所有指标!A130</f>
        <v>45186</v>
      </c>
      <c r="B126">
        <f>所有指标!C130</f>
        <v>2.7075</v>
      </c>
      <c r="C126">
        <f>(所有指标!C130-所有指标!B130)*100</f>
        <v>6.7499999999999893</v>
      </c>
      <c r="D126">
        <f>(所有指标!C130-所有指标!F130)*100</f>
        <v>46.95</v>
      </c>
      <c r="E126">
        <f>所有指标!D130</f>
        <v>2.7010999999999998</v>
      </c>
      <c r="F126">
        <f>(所有指标!D130-所有指标!I130)*100</f>
        <v>46.159999999999982</v>
      </c>
      <c r="G126">
        <f>(所有指标!D130-所有指标!G130)*100</f>
        <v>15.379999999999994</v>
      </c>
      <c r="H126">
        <f>所有指标!E130</f>
        <v>4.33</v>
      </c>
      <c r="I126" s="8">
        <f>(所有指标!E130-所有指标!H130)*100</f>
        <v>-109.99999999999997</v>
      </c>
      <c r="J126">
        <f>所有指标!T130</f>
        <v>13.79</v>
      </c>
    </row>
    <row r="127" spans="1:10">
      <c r="A127" s="7">
        <f>所有指标!A131</f>
        <v>45179</v>
      </c>
      <c r="B127">
        <f>所有指标!C131</f>
        <v>2.7612999999999999</v>
      </c>
      <c r="C127">
        <f>(所有指标!C131-所有指标!B131)*100</f>
        <v>12.379999999999969</v>
      </c>
      <c r="D127">
        <f>(所有指标!C131-所有指标!F131)*100</f>
        <v>55.24</v>
      </c>
      <c r="E127">
        <f>所有指标!D131</f>
        <v>2.7504</v>
      </c>
      <c r="F127">
        <f>(所有指标!D131-所有指标!I131)*100</f>
        <v>49.929999999999986</v>
      </c>
      <c r="G127">
        <f>(所有指标!D131-所有指标!G131)*100</f>
        <v>13.490000000000002</v>
      </c>
      <c r="H127">
        <f>所有指标!E131</f>
        <v>4.26</v>
      </c>
      <c r="I127" s="8">
        <f>(所有指标!E131-所有指标!H131)*100</f>
        <v>-116.00000000000001</v>
      </c>
      <c r="J127">
        <f>所有指标!T131</f>
        <v>13.84</v>
      </c>
    </row>
    <row r="128" spans="1:10">
      <c r="A128" s="7">
        <f>所有指标!A132</f>
        <v>45172</v>
      </c>
      <c r="B128">
        <f>所有指标!C132</f>
        <v>2.7212000000000001</v>
      </c>
      <c r="C128">
        <f>(所有指标!C132-所有指标!B132)*100</f>
        <v>13.62000000000001</v>
      </c>
      <c r="D128">
        <f>(所有指标!C132-所有指标!F132)*100</f>
        <v>63.55</v>
      </c>
      <c r="E128">
        <f>所有指标!D132</f>
        <v>2.5678000000000001</v>
      </c>
      <c r="F128">
        <f>(所有指标!D132-所有指标!I132)*100</f>
        <v>39.130000000000024</v>
      </c>
      <c r="G128">
        <f>(所有指标!D132-所有指标!G132)*100</f>
        <v>16.199999999999992</v>
      </c>
      <c r="H128">
        <f>所有指标!E132</f>
        <v>4.18</v>
      </c>
      <c r="I128" s="8">
        <f>(所有指标!E132-所有指标!H132)*100</f>
        <v>-118.00000000000006</v>
      </c>
      <c r="J128">
        <f>所有指标!T132</f>
        <v>13.09</v>
      </c>
    </row>
    <row r="129" spans="1:10">
      <c r="A129" s="7">
        <f>所有指标!A133</f>
        <v>45165</v>
      </c>
      <c r="B129">
        <f>所有指标!C133</f>
        <v>2.673</v>
      </c>
      <c r="C129">
        <f>(所有指标!C133-所有指标!B133)*100</f>
        <v>10.280000000000022</v>
      </c>
      <c r="D129">
        <f>(所有指标!C133-所有指标!F133)*100</f>
        <v>62.250000000000007</v>
      </c>
      <c r="E129">
        <f>所有指标!D133</f>
        <v>2.5019999999999998</v>
      </c>
      <c r="F129">
        <f>(所有指标!D133-所有指标!I133)*100</f>
        <v>35.159999999999989</v>
      </c>
      <c r="G129">
        <f>(所有指标!D133-所有指标!G133)*100</f>
        <v>18.239999999999988</v>
      </c>
      <c r="H129">
        <f>所有指标!E133</f>
        <v>4.25</v>
      </c>
      <c r="I129" s="8">
        <f>(所有指标!E133-所有指标!H133)*100</f>
        <v>-119.00000000000004</v>
      </c>
      <c r="J129">
        <f>所有指标!T133</f>
        <v>15.68</v>
      </c>
    </row>
    <row r="130" spans="1:10">
      <c r="A130" s="7">
        <f>所有指标!A134</f>
        <v>45158</v>
      </c>
      <c r="B130">
        <f>所有指标!C134</f>
        <v>2.6739000000000002</v>
      </c>
      <c r="C130">
        <f>(所有指标!C134-所有指标!B134)*100</f>
        <v>11.000000000000032</v>
      </c>
      <c r="D130">
        <f>(所有指标!C134-所有指标!F134)*100</f>
        <v>70.330000000000027</v>
      </c>
      <c r="E130">
        <f>所有指标!D134</f>
        <v>2.4900000000000002</v>
      </c>
      <c r="F130">
        <f>(所有指标!D134-所有指标!I134)*100</f>
        <v>37.24000000000003</v>
      </c>
      <c r="G130">
        <f>(所有指标!D134-所有指标!G134)*100</f>
        <v>19.890000000000008</v>
      </c>
      <c r="H130">
        <f>所有指标!E134</f>
        <v>4.26</v>
      </c>
      <c r="I130" s="8">
        <f>(所有指标!E134-所有指标!H134)*100</f>
        <v>-108.99999999999999</v>
      </c>
      <c r="J130">
        <f>所有指标!T134</f>
        <v>17.3</v>
      </c>
    </row>
    <row r="131" spans="1:10">
      <c r="A131" s="7">
        <f>所有指标!A135</f>
        <v>45151</v>
      </c>
      <c r="B131">
        <f>所有指标!C135</f>
        <v>2.7376999999999998</v>
      </c>
      <c r="C131">
        <f>(所有指标!C135-所有指标!B135)*100</f>
        <v>9.9599999999999689</v>
      </c>
      <c r="D131">
        <f>(所有指标!C135-所有指标!F135)*100</f>
        <v>74.169999999999987</v>
      </c>
      <c r="E131">
        <f>所有指标!D135</f>
        <v>2.5604</v>
      </c>
      <c r="F131">
        <f>(所有指标!D135-所有指标!I135)*100</f>
        <v>41.340000000000018</v>
      </c>
      <c r="G131">
        <f>(所有指标!D135-所有指标!G135)*100</f>
        <v>23.81000000000002</v>
      </c>
      <c r="H131">
        <f>所有指标!E135</f>
        <v>4.16</v>
      </c>
      <c r="I131" s="8">
        <f>(所有指标!E135-所有指标!H135)*100</f>
        <v>-120.00000000000001</v>
      </c>
      <c r="J131">
        <f>所有指标!T135</f>
        <v>14.84</v>
      </c>
    </row>
    <row r="132" spans="1:10">
      <c r="A132" s="7">
        <f>所有指标!A136</f>
        <v>45144</v>
      </c>
      <c r="B132">
        <f>所有指标!C136</f>
        <v>2.7465999999999999</v>
      </c>
      <c r="C132">
        <f>(所有指标!C136-所有指标!B136)*100</f>
        <v>9.96999999999999</v>
      </c>
      <c r="D132">
        <f>(所有指标!C136-所有指标!F136)*100</f>
        <v>74.060000000000016</v>
      </c>
      <c r="E132">
        <f>所有指标!D136</f>
        <v>2.6137000000000001</v>
      </c>
      <c r="F132">
        <f>(所有指标!D136-所有指标!I136)*100</f>
        <v>48.36</v>
      </c>
      <c r="G132">
        <f>(所有指标!D136-所有指标!G136)*100</f>
        <v>23.61</v>
      </c>
      <c r="H132">
        <f>所有指标!E136</f>
        <v>4.05</v>
      </c>
      <c r="I132" s="8">
        <f>(所有指标!E136-所有指标!H136)*100</f>
        <v>-128.00000000000003</v>
      </c>
      <c r="J132">
        <f>所有指标!T136</f>
        <v>17.100000000000001</v>
      </c>
    </row>
    <row r="133" spans="1:10">
      <c r="A133" s="7">
        <f>所有指标!A137</f>
        <v>45137</v>
      </c>
      <c r="B133">
        <f>所有指标!C137</f>
        <v>2.7629999999999999</v>
      </c>
      <c r="C133">
        <f>(所有指标!C137-所有指标!B137)*100</f>
        <v>10.969999999999969</v>
      </c>
      <c r="D133">
        <f>(所有指标!C137-所有指标!F137)*100</f>
        <v>72.249999999999972</v>
      </c>
      <c r="E133">
        <f>所有指标!D137</f>
        <v>2.6276000000000002</v>
      </c>
      <c r="F133">
        <f>(所有指标!D137-所有指标!I137)*100</f>
        <v>47.150000000000027</v>
      </c>
      <c r="G133">
        <f>(所有指标!D137-所有指标!G137)*100</f>
        <v>21.189999999999998</v>
      </c>
      <c r="H133">
        <f>所有指标!E137</f>
        <v>3.96</v>
      </c>
      <c r="I133" s="8">
        <f>(所有指标!E137-所有指标!H137)*100</f>
        <v>-141</v>
      </c>
      <c r="J133">
        <f>所有指标!T137</f>
        <v>13.33</v>
      </c>
    </row>
    <row r="134" spans="1:10">
      <c r="A134" s="7">
        <f>所有指标!A138</f>
        <v>45130</v>
      </c>
      <c r="B134">
        <f>所有指标!C138</f>
        <v>2.7280000000000002</v>
      </c>
      <c r="C134">
        <f>(所有指标!C138-所有指标!B138)*100</f>
        <v>12.010000000000032</v>
      </c>
      <c r="D134">
        <f>(所有指标!C138-所有指标!F138)*100</f>
        <v>66.250000000000014</v>
      </c>
      <c r="E134">
        <f>所有指标!D138</f>
        <v>2.5577999999999999</v>
      </c>
      <c r="F134">
        <f>(所有指标!D138-所有指标!I138)*100</f>
        <v>44.069999999999965</v>
      </c>
      <c r="G134">
        <f>(所有指标!D138-所有指标!G138)*100</f>
        <v>20.089999999999986</v>
      </c>
      <c r="H134">
        <f>所有指标!E138</f>
        <v>3.84</v>
      </c>
      <c r="I134" s="8">
        <f>(所有指标!E138-所有指标!H138)*100</f>
        <v>-150.99999999999997</v>
      </c>
      <c r="J134">
        <f>所有指标!T138</f>
        <v>13.6</v>
      </c>
    </row>
    <row r="135" spans="1:10">
      <c r="A135" s="7">
        <f>所有指标!A139</f>
        <v>45123</v>
      </c>
      <c r="B135">
        <f>所有指标!C139</f>
        <v>2.7664</v>
      </c>
      <c r="C135">
        <f>(所有指标!C139-所有指标!B139)*100</f>
        <v>12.199999999999989</v>
      </c>
      <c r="D135">
        <f>(所有指标!C139-所有指标!F139)*100</f>
        <v>67.09</v>
      </c>
      <c r="E135">
        <f>所有指标!D139</f>
        <v>2.5891999999999999</v>
      </c>
      <c r="F135">
        <f>(所有指标!D139-所有指标!I139)*100</f>
        <v>44.47999999999999</v>
      </c>
      <c r="G135">
        <f>(所有指标!D139-所有指标!G139)*100</f>
        <v>18.789999999999996</v>
      </c>
      <c r="H135">
        <f>所有指标!E139</f>
        <v>3.83</v>
      </c>
      <c r="I135" s="8">
        <f>(所有指标!E139-所有指标!H139)*100</f>
        <v>-150.99999999999997</v>
      </c>
      <c r="J135">
        <f>所有指标!T139</f>
        <v>13.34</v>
      </c>
    </row>
    <row r="136" spans="1:10">
      <c r="A136" s="7">
        <f>所有指标!A140</f>
        <v>45116</v>
      </c>
      <c r="B136">
        <f>所有指标!C140</f>
        <v>2.7677999999999998</v>
      </c>
      <c r="C136">
        <f>(所有指标!C140-所有指标!B140)*100</f>
        <v>12.749999999999995</v>
      </c>
      <c r="D136">
        <f>(所有指标!C140-所有指标!F140)*100</f>
        <v>70.540000000000006</v>
      </c>
      <c r="E136">
        <f>所有指标!D140</f>
        <v>2.5933000000000002</v>
      </c>
      <c r="F136">
        <f>(所有指标!D140-所有指标!I140)*100</f>
        <v>47.710000000000008</v>
      </c>
      <c r="G136">
        <f>(所有指标!D140-所有指标!G140)*100</f>
        <v>18.179999999999996</v>
      </c>
      <c r="H136">
        <f>所有指标!E140</f>
        <v>4.0599999999999996</v>
      </c>
      <c r="I136" s="8">
        <f>(所有指标!E140-所有指标!H140)*100</f>
        <v>-135.00000000000006</v>
      </c>
      <c r="J136">
        <f>所有指标!T140</f>
        <v>14.83</v>
      </c>
    </row>
    <row r="137" spans="1:10">
      <c r="A137" s="7">
        <f>所有指标!A141</f>
        <v>45109</v>
      </c>
      <c r="B137">
        <f>所有指标!C141</f>
        <v>2.7726999999999999</v>
      </c>
      <c r="C137">
        <f>(所有指标!C141-所有指标!B141)*100</f>
        <v>13.759999999999994</v>
      </c>
      <c r="D137">
        <f>(所有指标!C141-所有指标!F141)*100</f>
        <v>67.78</v>
      </c>
      <c r="E137">
        <f>所有指标!D141</f>
        <v>2.6432000000000002</v>
      </c>
      <c r="F137">
        <f>(所有指标!D141-所有指标!I141)*100</f>
        <v>49.850000000000037</v>
      </c>
      <c r="G137">
        <f>(所有指标!D141-所有指标!G141)*100</f>
        <v>17.360000000000042</v>
      </c>
      <c r="H137">
        <f>所有指标!E141</f>
        <v>3.81</v>
      </c>
      <c r="I137" s="8">
        <f>(所有指标!E141-所有指标!H141)*100</f>
        <v>-159.00000000000003</v>
      </c>
      <c r="J137">
        <f>所有指标!T141</f>
        <v>13.59</v>
      </c>
    </row>
    <row r="138" spans="1:10">
      <c r="A138" s="7">
        <f>所有指标!A142</f>
        <v>45102</v>
      </c>
      <c r="B138">
        <f>所有指标!C142</f>
        <v>2.7951000000000001</v>
      </c>
      <c r="C138">
        <f>(所有指标!C142-所有指标!B142)*100</f>
        <v>13.750000000000018</v>
      </c>
      <c r="D138">
        <f>(所有指标!C142-所有指标!F142)*100</f>
        <v>67.160000000000025</v>
      </c>
      <c r="E138">
        <f>所有指标!D142</f>
        <v>2.6511999999999998</v>
      </c>
      <c r="F138">
        <f>(所有指标!D142-所有指标!I142)*100</f>
        <v>47.07999999999997</v>
      </c>
      <c r="G138">
        <f>(所有指标!D142-所有指标!G142)*100</f>
        <v>16.039999999999964</v>
      </c>
      <c r="H138">
        <f>所有指标!E142</f>
        <v>3.74</v>
      </c>
      <c r="I138" s="8">
        <f>(所有指标!E142-所有指标!H142)*100</f>
        <v>-150.99999999999997</v>
      </c>
      <c r="J138">
        <f>所有指标!T142</f>
        <v>13.44</v>
      </c>
    </row>
    <row r="139" spans="1:10">
      <c r="A139" s="7">
        <f>所有指标!A143</f>
        <v>45095</v>
      </c>
      <c r="B139">
        <f>所有指标!C143</f>
        <v>2.8001</v>
      </c>
      <c r="C139">
        <f>(所有指标!C143-所有指标!B143)*100</f>
        <v>13.750000000000018</v>
      </c>
      <c r="D139">
        <f>(所有指标!C143-所有指标!F143)*100</f>
        <v>69.730000000000018</v>
      </c>
      <c r="E139">
        <f>所有指标!D143</f>
        <v>2.6273</v>
      </c>
      <c r="F139">
        <f>(所有指标!D143-所有指标!I143)*100</f>
        <v>42.15</v>
      </c>
      <c r="G139">
        <f>(所有指标!D143-所有指标!G143)*100</f>
        <v>17.589999999999996</v>
      </c>
      <c r="H139">
        <f>所有指标!E143</f>
        <v>3.77</v>
      </c>
      <c r="I139" s="8">
        <f>(所有指标!E143-所有指标!H143)*100</f>
        <v>-147.00000000000003</v>
      </c>
      <c r="J139">
        <f>所有指标!T143</f>
        <v>13.54</v>
      </c>
    </row>
    <row r="140" spans="1:10">
      <c r="A140" s="7">
        <f>所有指标!A144</f>
        <v>45088</v>
      </c>
      <c r="B140">
        <f>所有指标!C144</f>
        <v>2.8125</v>
      </c>
      <c r="C140">
        <f>(所有指标!C144-所有指标!B144)*100</f>
        <v>14.219999999999988</v>
      </c>
      <c r="D140">
        <f>(所有指标!C144-所有指标!F144)*100</f>
        <v>75.570000000000007</v>
      </c>
      <c r="E140">
        <f>所有指标!D144</f>
        <v>2.6150000000000002</v>
      </c>
      <c r="F140">
        <f>(所有指标!D144-所有指标!I144)*100</f>
        <v>46.420000000000037</v>
      </c>
      <c r="G140">
        <f>(所有指标!D144-所有指标!G144)*100</f>
        <v>18.210000000000015</v>
      </c>
      <c r="H140">
        <f>所有指标!E144</f>
        <v>3.75</v>
      </c>
      <c r="I140" s="8">
        <f>(所有指标!E144-所有指标!H144)*100</f>
        <v>-142</v>
      </c>
      <c r="J140">
        <f>所有指标!T144</f>
        <v>13.83</v>
      </c>
    </row>
    <row r="141" spans="1:10">
      <c r="A141" s="7">
        <f>所有指标!A145</f>
        <v>45081</v>
      </c>
      <c r="B141">
        <f>所有指标!C145</f>
        <v>2.8424999999999998</v>
      </c>
      <c r="C141">
        <f>(所有指标!C145-所有指标!B145)*100</f>
        <v>14.739999999999975</v>
      </c>
      <c r="D141">
        <f>(所有指标!C145-所有指标!F145)*100</f>
        <v>74.119999999999962</v>
      </c>
      <c r="E141">
        <f>所有指标!D145</f>
        <v>2.6953999999999998</v>
      </c>
      <c r="F141">
        <f>(所有指标!D145-所有指标!I145)*100</f>
        <v>50.46999999999997</v>
      </c>
      <c r="G141">
        <f>(所有指标!D145-所有指标!G145)*100</f>
        <v>24.2</v>
      </c>
      <c r="H141">
        <f>所有指标!E145</f>
        <v>3.69</v>
      </c>
      <c r="I141" s="8">
        <f>(所有指标!E145-所有指标!H145)*100</f>
        <v>-152.99999999999997</v>
      </c>
      <c r="J141">
        <f>所有指标!T145</f>
        <v>14.6</v>
      </c>
    </row>
    <row r="142" spans="1:10">
      <c r="A142" s="7">
        <f>所有指标!A146</f>
        <v>45074</v>
      </c>
      <c r="B142">
        <f>所有指标!C146</f>
        <v>2.8626</v>
      </c>
      <c r="C142">
        <f>(所有指标!C146-所有指标!B146)*100</f>
        <v>14.210000000000012</v>
      </c>
      <c r="D142">
        <f>(所有指标!C146-所有指标!F146)*100</f>
        <v>72.719999999999985</v>
      </c>
      <c r="E142">
        <f>所有指标!D146</f>
        <v>2.7281</v>
      </c>
      <c r="F142">
        <f>(所有指标!D146-所有指标!I146)*100</f>
        <v>48.320000000000007</v>
      </c>
      <c r="G142">
        <f>(所有指标!D146-所有指标!G146)*100</f>
        <v>23.019999999999996</v>
      </c>
      <c r="H142">
        <f>所有指标!E146</f>
        <v>3.8</v>
      </c>
      <c r="I142" s="8">
        <f>(所有指标!E146-所有指标!H146)*100</f>
        <v>-145.00000000000003</v>
      </c>
      <c r="J142">
        <f>所有指标!T146</f>
        <v>17.95</v>
      </c>
    </row>
    <row r="143" spans="1:10">
      <c r="A143" s="7">
        <f>所有指标!A147</f>
        <v>45067</v>
      </c>
      <c r="B143">
        <f>所有指标!C147</f>
        <v>2.8774999999999999</v>
      </c>
      <c r="C143">
        <f>(所有指标!C147-所有指标!B147)*100</f>
        <v>16.239999999999988</v>
      </c>
      <c r="D143">
        <f>(所有指标!C147-所有指标!F147)*100</f>
        <v>60.579999999999991</v>
      </c>
      <c r="E143">
        <f>所有指标!D147</f>
        <v>2.7587999999999999</v>
      </c>
      <c r="F143">
        <f>(所有指标!D147-所有指标!I147)*100</f>
        <v>47.52000000000001</v>
      </c>
      <c r="G143">
        <f>(所有指标!D147-所有指标!G147)*100</f>
        <v>20.449999999999989</v>
      </c>
      <c r="H143">
        <f>所有指标!E147</f>
        <v>3.7</v>
      </c>
      <c r="I143" s="8">
        <f>(所有指标!E147-所有指标!H147)*100</f>
        <v>-131.99999999999994</v>
      </c>
      <c r="J143">
        <f>所有指标!T147</f>
        <v>16.809999999999999</v>
      </c>
    </row>
    <row r="144" spans="1:10">
      <c r="A144" s="7">
        <f>所有指标!A148</f>
        <v>45060</v>
      </c>
      <c r="B144">
        <f>所有指标!C148</f>
        <v>2.8704000000000001</v>
      </c>
      <c r="C144">
        <f>(所有指标!C148-所有指标!B148)*100</f>
        <v>16.460000000000008</v>
      </c>
      <c r="D144">
        <f>(所有指标!C148-所有指标!F148)*100</f>
        <v>60.700000000000017</v>
      </c>
      <c r="E144">
        <f>所有指标!D148</f>
        <v>2.7563</v>
      </c>
      <c r="F144">
        <f>(所有指标!D148-所有指标!I148)*100</f>
        <v>48.70000000000001</v>
      </c>
      <c r="G144">
        <f>(所有指标!D148-所有指标!G148)*100</f>
        <v>20.389999999999997</v>
      </c>
      <c r="H144">
        <f>所有指标!E148</f>
        <v>3.46</v>
      </c>
      <c r="I144" s="8">
        <f>(所有指标!E148-所有指标!H148)*100</f>
        <v>-129</v>
      </c>
      <c r="J144">
        <f>所有指标!T148</f>
        <v>17.03</v>
      </c>
    </row>
    <row r="145" spans="1:10">
      <c r="A145" s="7">
        <f>所有指标!A149</f>
        <v>45053</v>
      </c>
      <c r="B145">
        <f>所有指标!C149</f>
        <v>2.8938000000000001</v>
      </c>
      <c r="C145">
        <f>(所有指标!C149-所有指标!B149)*100</f>
        <v>16.270000000000007</v>
      </c>
      <c r="D145">
        <f>(所有指标!C149-所有指标!F149)*100</f>
        <v>56.570000000000007</v>
      </c>
      <c r="E145">
        <f>所有指标!D149</f>
        <v>2.7856000000000001</v>
      </c>
      <c r="F145">
        <f>(所有指标!D149-所有指标!I149)*100</f>
        <v>48.160000000000025</v>
      </c>
      <c r="G145">
        <f>(所有指标!D149-所有指标!G149)*100</f>
        <v>14.910000000000023</v>
      </c>
      <c r="H145">
        <f>所有指标!E149</f>
        <v>3.44</v>
      </c>
      <c r="I145" s="8">
        <f>(所有指标!E149-所有指标!H149)*100</f>
        <v>-129.00000000000006</v>
      </c>
      <c r="J145">
        <f>所有指标!T149</f>
        <v>17.190000000000001</v>
      </c>
    </row>
    <row r="146" spans="1:10">
      <c r="A146" s="7">
        <f>所有指标!A150</f>
        <v>45046</v>
      </c>
      <c r="B146">
        <f>所有指标!C150</f>
        <v>2.9426999999999999</v>
      </c>
      <c r="C146">
        <f>(所有指标!C150-所有指标!B150)*100</f>
        <v>16.389999999999993</v>
      </c>
      <c r="D146">
        <f>(所有指标!C150-所有指标!F150)*100</f>
        <v>55.339999999999989</v>
      </c>
      <c r="E146">
        <f>所有指标!D150</f>
        <v>2.8298000000000001</v>
      </c>
      <c r="F146">
        <f>(所有指标!D150-所有指标!I150)*100</f>
        <v>47.500000000000007</v>
      </c>
      <c r="G146">
        <f>(所有指标!D150-所有指标!G150)*100</f>
        <v>15.040000000000031</v>
      </c>
      <c r="H146">
        <f>所有指标!E150</f>
        <v>3.44</v>
      </c>
      <c r="I146" s="8">
        <f>(所有指标!E150-所有指标!H150)*100</f>
        <v>-136</v>
      </c>
      <c r="J146">
        <f>所有指标!T150</f>
        <v>15.78</v>
      </c>
    </row>
    <row r="147" spans="1:10">
      <c r="A147" s="7">
        <f>所有指标!A151</f>
        <v>45039</v>
      </c>
      <c r="B147">
        <f>所有指标!C151</f>
        <v>3.0051000000000001</v>
      </c>
      <c r="C147">
        <f>(所有指标!C151-所有指标!B151)*100</f>
        <v>18.310000000000002</v>
      </c>
      <c r="D147">
        <f>(所有指标!C151-所有指标!F151)*100</f>
        <v>57.90000000000002</v>
      </c>
      <c r="E147">
        <f>所有指标!D151</f>
        <v>2.8826999999999998</v>
      </c>
      <c r="F147">
        <f>(所有指标!D151-所有指标!I151)*100</f>
        <v>47.319999999999986</v>
      </c>
      <c r="G147">
        <f>(所有指标!D151-所有指标!G151)*100</f>
        <v>17.089999999999961</v>
      </c>
      <c r="H147">
        <f>所有指标!E151</f>
        <v>3.57</v>
      </c>
      <c r="I147" s="8">
        <f>(所有指标!E151-所有指标!H151)*100</f>
        <v>-121.00000000000004</v>
      </c>
      <c r="J147">
        <f>所有指标!T151</f>
        <v>16.77</v>
      </c>
    </row>
    <row r="148" spans="1:10">
      <c r="A148" s="7">
        <f>所有指标!A152</f>
        <v>45032</v>
      </c>
      <c r="B148">
        <f>所有指标!C152</f>
        <v>3.0051000000000001</v>
      </c>
      <c r="C148">
        <f>(所有指标!C152-所有指标!B152)*100</f>
        <v>17.700000000000003</v>
      </c>
      <c r="D148">
        <f>(所有指标!C152-所有指标!F152)*100</f>
        <v>57.310000000000016</v>
      </c>
      <c r="E148">
        <f>所有指标!D152</f>
        <v>2.8927999999999998</v>
      </c>
      <c r="F148">
        <f>(所有指标!D152-所有指标!I152)*100</f>
        <v>48.539999999999985</v>
      </c>
      <c r="G148">
        <f>(所有指标!D152-所有指标!G152)*100</f>
        <v>15.09999999999998</v>
      </c>
      <c r="H148">
        <f>所有指标!E152</f>
        <v>3.52</v>
      </c>
      <c r="I148" s="8">
        <f>(所有指标!E152-所有指标!H152)*100</f>
        <v>-124.99999999999996</v>
      </c>
      <c r="J148">
        <f>所有指标!T152</f>
        <v>17.07</v>
      </c>
    </row>
    <row r="149" spans="1:10">
      <c r="A149" s="7">
        <f>所有指标!A153</f>
        <v>45025</v>
      </c>
      <c r="B149">
        <f>所有指标!C153</f>
        <v>3.0215999999999998</v>
      </c>
      <c r="C149">
        <f>(所有指标!C153-所有指标!B153)*100</f>
        <v>17.519999999999982</v>
      </c>
      <c r="D149">
        <f>(所有指标!C153-所有指标!F153)*100</f>
        <v>60.46</v>
      </c>
      <c r="E149">
        <f>所有指标!D153</f>
        <v>2.9327999999999999</v>
      </c>
      <c r="F149">
        <f>(所有指标!D153-所有指标!I153)*100</f>
        <v>52.459999999999994</v>
      </c>
      <c r="G149">
        <f>(所有指标!D153-所有指标!G153)*100</f>
        <v>19.159999999999975</v>
      </c>
      <c r="H149">
        <f>所有指标!E153</f>
        <v>3.39</v>
      </c>
      <c r="I149" s="8">
        <f>(所有指标!E153-所有指标!H153)*100</f>
        <v>-122.00000000000001</v>
      </c>
      <c r="J149">
        <f>所有指标!T153</f>
        <v>18.399999999999999</v>
      </c>
    </row>
    <row r="150" spans="1:10">
      <c r="A150" s="7">
        <f>所有指标!A154</f>
        <v>45018</v>
      </c>
      <c r="B150">
        <f>所有指标!C154</f>
        <v>3.0215000000000001</v>
      </c>
      <c r="C150">
        <f>(所有指标!C154-所有指标!B154)*100</f>
        <v>16.870000000000029</v>
      </c>
      <c r="D150">
        <f>(所有指标!C154-所有指标!F154)*100</f>
        <v>63.250000000000028</v>
      </c>
      <c r="E150">
        <f>所有指标!D154</f>
        <v>2.9539</v>
      </c>
      <c r="F150">
        <f>(所有指标!D154-所有指标!I154)*100</f>
        <v>56.210000000000008</v>
      </c>
      <c r="G150">
        <f>(所有指标!D154-所有指标!G154)*100</f>
        <v>18.739999999999981</v>
      </c>
      <c r="H150">
        <f>所有指标!E154</f>
        <v>3.48</v>
      </c>
      <c r="I150" s="8">
        <f>(所有指标!E154-所有指标!H154)*100</f>
        <v>-115.99999999999997</v>
      </c>
      <c r="J150">
        <f>所有指标!T154</f>
        <v>18.7</v>
      </c>
    </row>
    <row r="151" spans="1:10">
      <c r="A151" s="7">
        <f>所有指标!A155</f>
        <v>45011</v>
      </c>
      <c r="B151">
        <f>所有指标!C155</f>
        <v>3.0249999999999999</v>
      </c>
      <c r="C151">
        <f>(所有指标!C155-所有指标!B155)*100</f>
        <v>15.739999999999998</v>
      </c>
      <c r="D151">
        <f>(所有指标!C155-所有指标!F155)*100</f>
        <v>56.699999999999974</v>
      </c>
      <c r="E151">
        <f>所有指标!D155</f>
        <v>2.97</v>
      </c>
      <c r="F151">
        <f>(所有指标!D155-所有指标!I155)*100</f>
        <v>56.220000000000027</v>
      </c>
      <c r="G151">
        <f>(所有指标!D155-所有指标!G155)*100</f>
        <v>20.080000000000009</v>
      </c>
      <c r="H151">
        <f>所有指标!E155</f>
        <v>3.38</v>
      </c>
      <c r="I151" s="8">
        <f>(所有指标!E155-所有指标!H155)*100</f>
        <v>-94.000000000000043</v>
      </c>
      <c r="J151">
        <f>所有指标!T155</f>
        <v>21.74</v>
      </c>
    </row>
    <row r="152" spans="1:10">
      <c r="A152" s="7">
        <f>所有指标!A156</f>
        <v>45004</v>
      </c>
      <c r="B152">
        <f>所有指标!C156</f>
        <v>3.02</v>
      </c>
      <c r="C152">
        <f>(所有指标!C156-所有指标!B156)*100</f>
        <v>15.980000000000016</v>
      </c>
      <c r="D152">
        <f>(所有指标!C156-所有指标!F156)*100</f>
        <v>52.400000000000006</v>
      </c>
      <c r="E152">
        <f>所有指标!D156</f>
        <v>2.9698000000000002</v>
      </c>
      <c r="F152">
        <f>(所有指标!D156-所有指标!I156)*100</f>
        <v>55.64</v>
      </c>
      <c r="G152">
        <f>(所有指标!D156-所有指标!G156)*100</f>
        <v>17.56000000000002</v>
      </c>
      <c r="H152">
        <f>所有指标!E156</f>
        <v>3.39</v>
      </c>
      <c r="I152" s="8">
        <f>(所有指标!E156-所有指标!H156)*100</f>
        <v>-86.999999999999972</v>
      </c>
      <c r="J152">
        <f>所有指标!T156</f>
        <v>25.51</v>
      </c>
    </row>
    <row r="153" spans="1:10">
      <c r="A153" s="7">
        <f>所有指标!A157</f>
        <v>44997</v>
      </c>
      <c r="B153">
        <f>所有指标!C157</f>
        <v>3.0274999999999999</v>
      </c>
      <c r="C153">
        <f>(所有指标!C157-所有指标!B157)*100</f>
        <v>16.480000000000004</v>
      </c>
      <c r="D153">
        <f>(所有指标!C157-所有指标!F157)*100</f>
        <v>49.449999999999996</v>
      </c>
      <c r="E153">
        <f>所有指标!D157</f>
        <v>2.9496000000000002</v>
      </c>
      <c r="F153">
        <f>(所有指标!D157-所有指标!I157)*100</f>
        <v>51.880000000000017</v>
      </c>
      <c r="G153">
        <f>(所有指标!D157-所有指标!G157)*100</f>
        <v>15.72</v>
      </c>
      <c r="H153">
        <f>所有指标!E157</f>
        <v>3.7</v>
      </c>
      <c r="I153" s="8">
        <f>(所有指标!E157-所有指标!H157)*100</f>
        <v>-120.00000000000001</v>
      </c>
      <c r="J153">
        <f>所有指标!T157</f>
        <v>24.8</v>
      </c>
    </row>
    <row r="154" spans="1:10">
      <c r="A154" s="7">
        <f>所有指标!A158</f>
        <v>44990</v>
      </c>
      <c r="B154">
        <f>所有指标!C158</f>
        <v>3.0916000000000001</v>
      </c>
      <c r="C154">
        <f>(所有指标!C158-所有指标!B158)*100</f>
        <v>18.900000000000006</v>
      </c>
      <c r="D154">
        <f>(所有指标!C158-所有指标!F158)*100</f>
        <v>61.120000000000019</v>
      </c>
      <c r="E154">
        <f>所有指标!D158</f>
        <v>3.0806</v>
      </c>
      <c r="F154">
        <f>(所有指标!D158-所有指标!I158)*100</f>
        <v>61.589999999999989</v>
      </c>
      <c r="G154">
        <f>(所有指标!D158-所有指标!G158)*100</f>
        <v>21.660000000000011</v>
      </c>
      <c r="H154">
        <f>所有指标!E158</f>
        <v>3.97</v>
      </c>
      <c r="I154" s="8">
        <f>(所有指标!E158-所有指标!H158)*100</f>
        <v>-106</v>
      </c>
      <c r="J154">
        <f>所有指标!T158</f>
        <v>18.489999999999998</v>
      </c>
    </row>
    <row r="155" spans="1:10">
      <c r="A155" s="7">
        <f>所有指标!A159</f>
        <v>44983</v>
      </c>
      <c r="B155">
        <f>所有指标!C159</f>
        <v>3.0806</v>
      </c>
      <c r="C155">
        <f>(所有指标!C159-所有指标!B159)*100</f>
        <v>16.800000000000015</v>
      </c>
      <c r="D155">
        <f>(所有指标!C159-所有指标!F159)*100</f>
        <v>61.28</v>
      </c>
      <c r="E155">
        <f>所有指标!D159</f>
        <v>3.0217999999999998</v>
      </c>
      <c r="F155">
        <f>(所有指标!D159-所有指标!I159)*100</f>
        <v>52.979999999999983</v>
      </c>
      <c r="G155">
        <f>(所有指标!D159-所有指标!G159)*100</f>
        <v>19.449999999999967</v>
      </c>
      <c r="H155">
        <f>所有指标!E159</f>
        <v>3.95</v>
      </c>
      <c r="I155" s="8">
        <f>(所有指标!E159-所有指标!H159)*100</f>
        <v>-109.99999999999997</v>
      </c>
      <c r="J155">
        <f>所有指标!T159</f>
        <v>21.67</v>
      </c>
    </row>
    <row r="156" spans="1:10">
      <c r="A156" s="7"/>
    </row>
    <row r="157" spans="1:10">
      <c r="A157" s="7"/>
    </row>
    <row r="158" spans="1:10">
      <c r="A158" s="7"/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5189-B1A6-42F6-B02E-F6D7D4BDE116}">
  <sheetPr codeName="Sheet6"/>
  <dimension ref="A1:G158"/>
  <sheetViews>
    <sheetView workbookViewId="0">
      <selection activeCell="N13" sqref="N13"/>
    </sheetView>
  </sheetViews>
  <sheetFormatPr baseColWidth="10" defaultColWidth="8.83203125" defaultRowHeight="15"/>
  <cols>
    <col min="1" max="1" width="12.33203125" bestFit="1" customWidth="1"/>
    <col min="5" max="5" width="8.83203125" style="17"/>
  </cols>
  <sheetData>
    <row r="1" spans="1:7">
      <c r="B1" s="26" t="s">
        <v>17</v>
      </c>
      <c r="C1" s="26"/>
      <c r="D1" s="26"/>
      <c r="E1" s="26" t="s">
        <v>179</v>
      </c>
      <c r="F1" s="26"/>
      <c r="G1" s="26"/>
    </row>
    <row r="2" spans="1:7">
      <c r="A2" t="s">
        <v>54</v>
      </c>
      <c r="B2" t="s">
        <v>70</v>
      </c>
      <c r="C2" t="s">
        <v>18</v>
      </c>
      <c r="D2" t="s">
        <v>68</v>
      </c>
      <c r="E2" s="17" t="s">
        <v>179</v>
      </c>
      <c r="F2" t="s">
        <v>180</v>
      </c>
      <c r="G2" t="s">
        <v>181</v>
      </c>
    </row>
    <row r="3" spans="1:7">
      <c r="A3" s="7">
        <f>所有指标!A7</f>
        <v>46047</v>
      </c>
      <c r="B3">
        <f>所有指标!U7</f>
        <v>6.9641999999999999</v>
      </c>
      <c r="C3">
        <f>(所有指标!B7-所有指标!E7)*100</f>
        <v>-241.02</v>
      </c>
      <c r="D3">
        <f>所有指标!V7</f>
        <v>97.505300000000005</v>
      </c>
      <c r="E3" s="17">
        <f>-所有指标!AG7/10000/所有指标!AH7</f>
        <v>1.7787499820110238E-2</v>
      </c>
      <c r="F3">
        <f>所有指标!AG7</f>
        <v>-1236</v>
      </c>
      <c r="G3">
        <f>所有指标!AH7</f>
        <v>6.9486999999999997</v>
      </c>
    </row>
    <row r="4" spans="1:7">
      <c r="A4" s="7">
        <f>所有指标!A8</f>
        <v>46040</v>
      </c>
      <c r="B4">
        <f>所有指标!U8</f>
        <v>6.9690000000000003</v>
      </c>
      <c r="C4">
        <f>(所有指标!B8-所有指标!E8)*100</f>
        <v>-239.76000000000002</v>
      </c>
      <c r="D4">
        <f>所有指标!V8</f>
        <v>99.369100000000003</v>
      </c>
      <c r="E4" s="17">
        <f>-所有指标!AG8/10000/所有指标!AH8</f>
        <v>1.7323535321640784E-2</v>
      </c>
      <c r="F4">
        <f>所有指标!AG8</f>
        <v>-1207</v>
      </c>
      <c r="G4">
        <f>所有指标!AH8</f>
        <v>6.9673999999999996</v>
      </c>
    </row>
    <row r="5" spans="1:7">
      <c r="A5" s="7">
        <f>所有指标!A9</f>
        <v>46033</v>
      </c>
      <c r="B5">
        <f>所有指标!U9</f>
        <v>6.9821</v>
      </c>
      <c r="C5">
        <f>(所有指标!B9-所有指标!E9)*100</f>
        <v>-230.17999999999995</v>
      </c>
      <c r="D5">
        <f>所有指标!V9</f>
        <v>99.136799999999994</v>
      </c>
      <c r="E5" s="17">
        <f>-所有指标!AG9/10000/所有指标!AH9</f>
        <v>1.7101490825688074E-2</v>
      </c>
      <c r="F5">
        <f>所有指标!AG9</f>
        <v>-1193</v>
      </c>
      <c r="G5">
        <f>所有指标!AH9</f>
        <v>6.976</v>
      </c>
    </row>
    <row r="6" spans="1:7">
      <c r="A6" s="7">
        <f>所有指标!A10</f>
        <v>46026</v>
      </c>
      <c r="B6">
        <f>所有指标!U10</f>
        <v>6.9889999999999999</v>
      </c>
      <c r="C6">
        <f>(所有指标!B10-所有指标!E10)*100</f>
        <v>-234.73000000000008</v>
      </c>
      <c r="D6">
        <f>所有指标!V10</f>
        <v>98.459400000000002</v>
      </c>
      <c r="E6" s="17">
        <f>-所有指标!AG10/10000/所有指标!AH10</f>
        <v>1.615518156645002E-2</v>
      </c>
      <c r="F6">
        <f>所有指标!AG10</f>
        <v>-1126</v>
      </c>
      <c r="G6">
        <f>所有指标!AH10</f>
        <v>6.9699</v>
      </c>
    </row>
    <row r="7" spans="1:7">
      <c r="A7" s="7">
        <f>所有指标!A11</f>
        <v>46019</v>
      </c>
      <c r="B7">
        <f>所有指标!U11</f>
        <v>7.0084999999999997</v>
      </c>
      <c r="C7">
        <f>(所有指标!B11-所有指标!E11)*100</f>
        <v>-230.23999999999995</v>
      </c>
      <c r="D7">
        <f>所有指标!V11</f>
        <v>98.034099999999995</v>
      </c>
      <c r="E7" s="17">
        <f>-所有指标!AG11/10000/所有指标!AH11</f>
        <v>1.5719139944604665E-2</v>
      </c>
      <c r="F7">
        <f>所有指标!AG11</f>
        <v>-1101</v>
      </c>
      <c r="G7">
        <f>所有指标!AH11</f>
        <v>7.0042</v>
      </c>
    </row>
    <row r="8" spans="1:7">
      <c r="A8" s="7">
        <f>所有指标!A12</f>
        <v>46012</v>
      </c>
      <c r="B8">
        <f>所有指标!U12</f>
        <v>7.0410000000000004</v>
      </c>
      <c r="C8">
        <f>(所有指标!B12-所有指标!E12)*100</f>
        <v>-232.92000000000002</v>
      </c>
      <c r="D8">
        <f>所有指标!V12</f>
        <v>98.712500000000006</v>
      </c>
      <c r="E8" s="17">
        <f>-所有指标!AG12/10000/所有指标!AH12</f>
        <v>1.751592356687898E-2</v>
      </c>
      <c r="F8">
        <f>所有指标!AG12</f>
        <v>-1232</v>
      </c>
      <c r="G8">
        <f>所有指标!AH12</f>
        <v>7.0335999999999999</v>
      </c>
    </row>
    <row r="9" spans="1:7">
      <c r="A9" s="7">
        <f>所有指标!A13</f>
        <v>46005</v>
      </c>
      <c r="B9">
        <f>所有指标!U13</f>
        <v>7.0553999999999997</v>
      </c>
      <c r="C9">
        <f>(所有指标!B13-所有指标!E13)*100</f>
        <v>-235.04000000000005</v>
      </c>
      <c r="D9">
        <f>所有指标!V13</f>
        <v>98.401200000000003</v>
      </c>
      <c r="E9" s="17">
        <f>-所有指标!AG13/10000/所有指标!AH13</f>
        <v>1.8331466647763521E-2</v>
      </c>
      <c r="F9">
        <f>所有指标!AG13</f>
        <v>-1293.01</v>
      </c>
      <c r="G9">
        <f>所有指标!AH13</f>
        <v>7.0534999999999997</v>
      </c>
    </row>
    <row r="10" spans="1:7">
      <c r="A10" s="7">
        <f>所有指标!A14</f>
        <v>45998</v>
      </c>
      <c r="B10">
        <f>所有指标!U14</f>
        <v>7.0705999999999998</v>
      </c>
      <c r="C10">
        <f>(所有指标!B14-所有指标!E14)*100</f>
        <v>-229.2</v>
      </c>
      <c r="D10">
        <f>所有指标!V14</f>
        <v>98.983000000000004</v>
      </c>
      <c r="E10" s="17">
        <f>-所有指标!AG14/10000/所有指标!AH14</f>
        <v>1.8262579394831027E-2</v>
      </c>
      <c r="F10">
        <f>所有指标!AG14</f>
        <v>-1291</v>
      </c>
      <c r="G10">
        <f>所有指标!AH14</f>
        <v>7.0690999999999997</v>
      </c>
    </row>
    <row r="11" spans="1:7">
      <c r="A11" s="7">
        <f>所有指标!A15</f>
        <v>45991</v>
      </c>
      <c r="B11">
        <f>所有指标!U15</f>
        <v>7.0793999999999997</v>
      </c>
      <c r="C11">
        <f>(所有指标!B15-所有指标!E15)*100</f>
        <v>-217.88</v>
      </c>
      <c r="D11">
        <f>所有指标!V15</f>
        <v>99.439099999999996</v>
      </c>
      <c r="E11" s="17">
        <f>-所有指标!AG15/10000/所有指标!AH15</f>
        <v>1.8313464285209226E-2</v>
      </c>
      <c r="F11">
        <f>所有指标!AG15</f>
        <v>-1295</v>
      </c>
      <c r="G11">
        <f>所有指标!AH15</f>
        <v>7.0712999999999999</v>
      </c>
    </row>
    <row r="12" spans="1:7">
      <c r="A12" s="7">
        <f>所有指标!A16</f>
        <v>45984</v>
      </c>
      <c r="B12">
        <f>所有指标!U16</f>
        <v>7.1102999999999996</v>
      </c>
      <c r="C12">
        <f>(所有指标!B16-所有指标!E16)*100</f>
        <v>-224.33999999999995</v>
      </c>
      <c r="D12">
        <f>所有指标!V16</f>
        <v>100.1527</v>
      </c>
      <c r="E12" s="17">
        <f>-所有指标!AG16/10000/所有指标!AH16</f>
        <v>1.8943479607059419E-2</v>
      </c>
      <c r="F12">
        <f>所有指标!AG16</f>
        <v>-1346.01</v>
      </c>
      <c r="G12">
        <f>所有指标!AH16</f>
        <v>7.1054000000000004</v>
      </c>
    </row>
    <row r="13" spans="1:7">
      <c r="A13" s="7">
        <f>所有指标!A17</f>
        <v>45977</v>
      </c>
      <c r="B13">
        <f>所有指标!U17</f>
        <v>7.1006999999999998</v>
      </c>
      <c r="C13">
        <f>(所有指标!B17-所有指标!E17)*100</f>
        <v>-232.59999999999997</v>
      </c>
      <c r="D13">
        <f>所有指标!V17</f>
        <v>99.284499999999994</v>
      </c>
      <c r="E13" s="17">
        <f>-所有指标!AG17/10000/所有指标!AH17</f>
        <v>1.8492697285953718E-2</v>
      </c>
      <c r="F13">
        <f>所有指标!AG17</f>
        <v>-1313</v>
      </c>
      <c r="G13">
        <f>所有指标!AH17</f>
        <v>7.1001000000000003</v>
      </c>
    </row>
    <row r="14" spans="1:7">
      <c r="A14" s="7">
        <f>所有指标!A18</f>
        <v>45970</v>
      </c>
      <c r="B14">
        <f>所有指标!U18</f>
        <v>7.1224999999999996</v>
      </c>
      <c r="C14">
        <f>(所有指标!B18-所有指标!E18)*100</f>
        <v>-229.58000000000004</v>
      </c>
      <c r="D14">
        <f>所有指标!V18</f>
        <v>99.547700000000006</v>
      </c>
      <c r="E14" s="17">
        <f>-所有指标!AG18/10000/所有指标!AH18</f>
        <v>1.8455622298321449E-2</v>
      </c>
      <c r="F14">
        <f>所有指标!AG18</f>
        <v>-1315</v>
      </c>
      <c r="G14">
        <f>所有指标!AH18</f>
        <v>7.1252000000000004</v>
      </c>
    </row>
    <row r="15" spans="1:7">
      <c r="A15" s="7">
        <f>所有指标!A19</f>
        <v>45963</v>
      </c>
      <c r="B15">
        <f>所有指标!U19</f>
        <v>7.1135000000000002</v>
      </c>
      <c r="C15">
        <f>(所有指标!B19-所有指标!E19)*100</f>
        <v>-231.46000000000004</v>
      </c>
      <c r="D15">
        <f>所有指标!V19</f>
        <v>99.730800000000002</v>
      </c>
      <c r="E15" s="17">
        <f>-所有指标!AG19/10000/所有指标!AH19</f>
        <v>1.8069751769066607E-2</v>
      </c>
      <c r="F15">
        <f>所有指标!AG19</f>
        <v>-1287</v>
      </c>
      <c r="G15">
        <f>所有指标!AH19</f>
        <v>7.1223999999999998</v>
      </c>
    </row>
    <row r="16" spans="1:7">
      <c r="A16" s="7">
        <f>所有指标!A20</f>
        <v>45956</v>
      </c>
      <c r="B16">
        <f>所有指标!U20</f>
        <v>7.1230000000000002</v>
      </c>
      <c r="C16">
        <f>(所有指标!B20-所有指标!E20)*100</f>
        <v>-217.13999999999993</v>
      </c>
      <c r="D16">
        <f>所有指标!V20</f>
        <v>98.941699999999997</v>
      </c>
      <c r="E16" s="17">
        <f>-所有指标!AG20/10000/所有指标!AH20</f>
        <v>1.7849625326260842E-2</v>
      </c>
      <c r="F16">
        <f>所有指标!AG20</f>
        <v>-1272</v>
      </c>
      <c r="G16">
        <f>所有指标!AH20</f>
        <v>7.1261999999999999</v>
      </c>
    </row>
    <row r="17" spans="1:7">
      <c r="A17" s="7">
        <f>所有指标!A21</f>
        <v>45949</v>
      </c>
      <c r="B17">
        <f>所有指标!U21</f>
        <v>7.1265000000000001</v>
      </c>
      <c r="C17">
        <f>(所有指标!B21-所有指标!E21)*100</f>
        <v>-219.53999999999994</v>
      </c>
      <c r="D17">
        <f>所有指标!V21</f>
        <v>98.555599999999998</v>
      </c>
      <c r="E17" s="17">
        <f>-所有指标!AG21/10000/所有指标!AH21</f>
        <v>1.7483057149672368E-2</v>
      </c>
      <c r="F17">
        <f>所有指标!AG21</f>
        <v>-1246</v>
      </c>
      <c r="G17">
        <f>所有指标!AH21</f>
        <v>7.1269</v>
      </c>
    </row>
    <row r="18" spans="1:7">
      <c r="A18" s="7">
        <f>所有指标!A22</f>
        <v>45942</v>
      </c>
      <c r="B18">
        <f>所有指标!U22</f>
        <v>7.1231999999999998</v>
      </c>
      <c r="C18">
        <f>(所有指标!B22-所有指标!E22)*100</f>
        <v>-222.94</v>
      </c>
      <c r="D18">
        <f>所有指标!V22</f>
        <v>98.822299999999998</v>
      </c>
      <c r="E18" s="17">
        <f>-所有指标!AG22/10000/所有指标!AH22</f>
        <v>1.7767704748314166E-2</v>
      </c>
      <c r="F18">
        <f>所有指标!AG22</f>
        <v>-1270</v>
      </c>
      <c r="G18">
        <f>所有指标!AH22</f>
        <v>7.1478000000000002</v>
      </c>
    </row>
    <row r="19" spans="1:7">
      <c r="A19" s="7">
        <f>所有指标!A23</f>
        <v>45935</v>
      </c>
      <c r="B19">
        <f>所有指标!U23</f>
        <v>7.1185999999999998</v>
      </c>
      <c r="C19">
        <f>(所有指标!B23-所有指标!E23)*100</f>
        <v>-226.95</v>
      </c>
      <c r="D19">
        <f>所有指标!V23</f>
        <v>97.722899999999996</v>
      </c>
      <c r="E19" s="17">
        <f>-所有指标!AG23/10000/所有指标!AH23</f>
        <v>1.8476877802690583E-2</v>
      </c>
      <c r="F19">
        <f>所有指标!AG23</f>
        <v>-1318.51</v>
      </c>
      <c r="G19">
        <f>所有指标!AH23</f>
        <v>7.1360000000000001</v>
      </c>
    </row>
    <row r="20" spans="1:7">
      <c r="A20" s="7">
        <f>所有指标!A24</f>
        <v>45928</v>
      </c>
      <c r="B20">
        <f>所有指标!U24</f>
        <v>7.1345000000000001</v>
      </c>
      <c r="C20">
        <f>(所有指标!B24-所有指标!E24)*100</f>
        <v>-232.19000000000003</v>
      </c>
      <c r="D20">
        <f>所有指标!V24</f>
        <v>98.192599999999999</v>
      </c>
      <c r="E20" s="17">
        <f>-所有指标!AG24/10000/所有指标!AH24</f>
        <v>1.8610056992424347E-2</v>
      </c>
      <c r="F20">
        <f>所有指标!AG24</f>
        <v>-1329</v>
      </c>
      <c r="G20">
        <f>所有指标!AH24</f>
        <v>7.1413000000000002</v>
      </c>
    </row>
    <row r="21" spans="1:7">
      <c r="A21" s="7">
        <f>所有指标!A25</f>
        <v>45921</v>
      </c>
      <c r="B21">
        <f>所有指标!U25</f>
        <v>7.1124999999999998</v>
      </c>
      <c r="C21">
        <f>(所有指标!B25-所有指标!E25)*100</f>
        <v>-226.10999999999999</v>
      </c>
      <c r="D21">
        <f>所有指标!V25</f>
        <v>97.651899999999998</v>
      </c>
      <c r="E21" s="17">
        <f>-所有指标!AG25/10000/所有指标!AH25</f>
        <v>1.8470138771841116E-2</v>
      </c>
      <c r="F21">
        <f>所有指标!AG25</f>
        <v>-1315</v>
      </c>
      <c r="G21">
        <f>所有指标!AH25</f>
        <v>7.1196000000000002</v>
      </c>
    </row>
    <row r="22" spans="1:7">
      <c r="A22" s="7">
        <f>所有指标!A26</f>
        <v>45914</v>
      </c>
      <c r="B22">
        <f>所有指标!U26</f>
        <v>7.1223999999999998</v>
      </c>
      <c r="C22">
        <f>(所有指标!B26-所有指标!E26)*100</f>
        <v>-219.29999999999995</v>
      </c>
      <c r="D22">
        <f>所有指标!V26</f>
        <v>97.617800000000003</v>
      </c>
      <c r="E22" s="17">
        <f>-所有指标!AG26/10000/所有指标!AH26</f>
        <v>2.0438816906944424E-2</v>
      </c>
      <c r="F22">
        <f>所有指标!AG26</f>
        <v>-1456</v>
      </c>
      <c r="G22">
        <f>所有指标!AH26</f>
        <v>7.1237000000000004</v>
      </c>
    </row>
    <row r="23" spans="1:7">
      <c r="A23" s="7">
        <f>所有指标!A27</f>
        <v>45907</v>
      </c>
      <c r="B23">
        <f>所有指标!U27</f>
        <v>7.1378000000000004</v>
      </c>
      <c r="C23">
        <f>(所有指标!B27-所有指标!E27)*100</f>
        <v>-227.39999999999995</v>
      </c>
      <c r="D23">
        <f>所有指标!V27</f>
        <v>97.735699999999994</v>
      </c>
      <c r="E23" s="17">
        <f>-所有指标!AG27/10000/所有指标!AH27</f>
        <v>2.1792515049885636E-2</v>
      </c>
      <c r="F23">
        <f>所有指标!AG27</f>
        <v>-1553</v>
      </c>
      <c r="G23">
        <f>所有指标!AH27</f>
        <v>7.1262999999999996</v>
      </c>
    </row>
    <row r="24" spans="1:7">
      <c r="A24" s="7">
        <f>所有指标!A28</f>
        <v>45900</v>
      </c>
      <c r="B24">
        <f>所有指标!U28</f>
        <v>7.133</v>
      </c>
      <c r="C24">
        <f>(所有指标!B28-所有指标!E28)*100</f>
        <v>-239.21</v>
      </c>
      <c r="D24">
        <f>所有指标!V28</f>
        <v>97.847700000000003</v>
      </c>
      <c r="E24" s="17">
        <f>-所有指标!AG28/10000/所有指标!AH28</f>
        <v>2.2212549669339103E-2</v>
      </c>
      <c r="F24">
        <f>所有指标!AG28</f>
        <v>-1582</v>
      </c>
      <c r="G24">
        <f>所有指标!AH28</f>
        <v>7.1220999999999997</v>
      </c>
    </row>
    <row r="25" spans="1:7">
      <c r="A25" s="7">
        <f>所有指标!A29</f>
        <v>45893</v>
      </c>
      <c r="B25">
        <f>所有指标!U29</f>
        <v>7.1805000000000003</v>
      </c>
      <c r="C25">
        <f>(所有指标!B29-所有指标!E29)*100</f>
        <v>-247.81999999999996</v>
      </c>
      <c r="D25">
        <f>所有指标!V29</f>
        <v>97.724400000000003</v>
      </c>
      <c r="E25" s="17">
        <f>-所有指标!AG29/10000/所有指标!AH29</f>
        <v>2.3594377510040159E-2</v>
      </c>
      <c r="F25">
        <f>所有指标!AG29</f>
        <v>-1692</v>
      </c>
      <c r="G25">
        <f>所有指标!AH29</f>
        <v>7.1711999999999998</v>
      </c>
    </row>
    <row r="26" spans="1:7">
      <c r="A26" s="7">
        <f>所有指标!A30</f>
        <v>45886</v>
      </c>
      <c r="B26">
        <f>所有指标!U30</f>
        <v>7.1822999999999997</v>
      </c>
      <c r="C26">
        <f>(所有指标!B30-所有指标!E30)*100</f>
        <v>-258.34999999999997</v>
      </c>
      <c r="D26">
        <f>所有指标!V30</f>
        <v>97.846699999999998</v>
      </c>
      <c r="E26" s="17">
        <f>-所有指标!AG30/10000/所有指标!AH30</f>
        <v>2.3591270117260855E-2</v>
      </c>
      <c r="F26">
        <f>所有指标!AG30</f>
        <v>-1696</v>
      </c>
      <c r="G26">
        <f>所有指标!AH30</f>
        <v>7.1890999999999998</v>
      </c>
    </row>
    <row r="27" spans="1:7">
      <c r="A27" s="7">
        <f>所有指标!A31</f>
        <v>45879</v>
      </c>
      <c r="B27">
        <f>所有指标!U31</f>
        <v>7.1825999999999999</v>
      </c>
      <c r="C27">
        <f>(所有指标!B31-所有指标!E31)*100</f>
        <v>-258.08999999999997</v>
      </c>
      <c r="D27">
        <f>所有指标!V31</f>
        <v>98.266999999999996</v>
      </c>
      <c r="E27" s="17">
        <f>-所有指标!AG31/10000/所有指标!AH31</f>
        <v>2.4252329948532481E-2</v>
      </c>
      <c r="F27">
        <f>所有指标!AG31</f>
        <v>-1743.5</v>
      </c>
      <c r="G27">
        <f>所有指标!AH31</f>
        <v>7.1890000000000001</v>
      </c>
    </row>
    <row r="28" spans="1:7">
      <c r="A28" s="7">
        <f>所有指标!A32</f>
        <v>45872</v>
      </c>
      <c r="B28">
        <f>所有指标!U32</f>
        <v>7.2106000000000003</v>
      </c>
      <c r="C28">
        <f>(所有指标!B32-所有指标!E32)*100</f>
        <v>-252.41000000000008</v>
      </c>
      <c r="D28">
        <f>所有指标!V32</f>
        <v>98.69</v>
      </c>
      <c r="E28" s="17">
        <f>-所有指标!AG32/10000/所有指标!AH32</f>
        <v>2.6122982385407834E-2</v>
      </c>
      <c r="F28">
        <f>所有指标!AG32</f>
        <v>-1879</v>
      </c>
      <c r="G28">
        <f>所有指标!AH32</f>
        <v>7.1928999999999998</v>
      </c>
    </row>
    <row r="29" spans="1:7">
      <c r="A29" s="7">
        <f>所有指标!A33</f>
        <v>45865</v>
      </c>
      <c r="B29">
        <f>所有指标!U33</f>
        <v>7.1679000000000004</v>
      </c>
      <c r="C29">
        <f>(所有指标!B33-所有指标!E33)*100</f>
        <v>-266.76</v>
      </c>
      <c r="D29">
        <f>所有指标!V33</f>
        <v>97.670100000000005</v>
      </c>
      <c r="E29" s="17">
        <f>-所有指标!AG33/10000/所有指标!AH33</f>
        <v>2.4539278190873454E-2</v>
      </c>
      <c r="F29">
        <f>所有指标!AG33</f>
        <v>-1759</v>
      </c>
      <c r="G29">
        <f>所有指标!AH33</f>
        <v>7.1680999999999999</v>
      </c>
    </row>
    <row r="30" spans="1:7">
      <c r="A30" s="7">
        <f>所有指标!A34</f>
        <v>45858</v>
      </c>
      <c r="B30">
        <f>所有指标!U34</f>
        <v>7.1765999999999996</v>
      </c>
      <c r="C30">
        <f>(所有指标!B34-所有指标!E34)*100</f>
        <v>-277.48</v>
      </c>
      <c r="D30">
        <f>所有指标!V34</f>
        <v>98.46</v>
      </c>
      <c r="E30" s="17">
        <f>-所有指标!AG34/10000/所有指标!AH34</f>
        <v>2.4857262219746552E-2</v>
      </c>
      <c r="F30">
        <f>所有指标!AG34</f>
        <v>-1785</v>
      </c>
      <c r="G30">
        <f>所有指标!AH34</f>
        <v>7.181</v>
      </c>
    </row>
    <row r="31" spans="1:7">
      <c r="A31" s="7">
        <f>所有指标!A35</f>
        <v>45851</v>
      </c>
      <c r="B31">
        <f>所有指标!U35</f>
        <v>7.1710000000000003</v>
      </c>
      <c r="C31">
        <f>(所有指标!B35-所有指标!E35)*100</f>
        <v>-276.46999999999997</v>
      </c>
      <c r="D31">
        <f>所有指标!V35</f>
        <v>97.873099999999994</v>
      </c>
      <c r="E31" s="17">
        <f>-所有指标!AG35/10000/所有指标!AH35</f>
        <v>2.5659501505520241E-2</v>
      </c>
      <c r="F31">
        <f>所有指标!AG35</f>
        <v>-1840.71</v>
      </c>
      <c r="G31">
        <f>所有指标!AH35</f>
        <v>7.1736000000000004</v>
      </c>
    </row>
    <row r="32" spans="1:7">
      <c r="A32" s="7">
        <f>所有指标!A36</f>
        <v>45844</v>
      </c>
      <c r="B32">
        <f>所有指标!U36</f>
        <v>7.1651999999999996</v>
      </c>
      <c r="C32">
        <f>(所有指标!B36-所有指标!E36)*100</f>
        <v>-270.66999999999996</v>
      </c>
      <c r="D32">
        <f>所有指标!V36</f>
        <v>96.988</v>
      </c>
      <c r="E32" s="17">
        <f>-所有指标!AG36/10000/所有指标!AH36</f>
        <v>2.6798425592496442E-2</v>
      </c>
      <c r="F32">
        <f>所有指标!AG36</f>
        <v>-1920</v>
      </c>
      <c r="G32">
        <f>所有指标!AH36</f>
        <v>7.1646000000000001</v>
      </c>
    </row>
    <row r="33" spans="1:7">
      <c r="A33" s="7">
        <f>所有指标!A37</f>
        <v>45837</v>
      </c>
      <c r="B33">
        <f>所有指标!U37</f>
        <v>7.1689999999999996</v>
      </c>
      <c r="C33">
        <f>(所有指标!B37-所有指标!E37)*100</f>
        <v>-264.38</v>
      </c>
      <c r="D33">
        <f>所有指标!V37</f>
        <v>97.261200000000002</v>
      </c>
      <c r="E33" s="17">
        <f>-所有指标!AG37/10000/所有指标!AH37</f>
        <v>2.6377058093658073E-2</v>
      </c>
      <c r="F33">
        <f>所有指标!AG37</f>
        <v>-1892</v>
      </c>
      <c r="G33">
        <f>所有指标!AH37</f>
        <v>7.1729000000000003</v>
      </c>
    </row>
    <row r="34" spans="1:7">
      <c r="A34" s="7">
        <f>所有指标!A38</f>
        <v>45830</v>
      </c>
      <c r="B34">
        <f>所有指标!U38</f>
        <v>7.1837</v>
      </c>
      <c r="C34">
        <f>(所有指标!B38-所有指标!E38)*100</f>
        <v>-274.04000000000002</v>
      </c>
      <c r="D34">
        <f>所有指标!V38</f>
        <v>98.763900000000007</v>
      </c>
      <c r="E34" s="17">
        <f>-所有指标!AG38/10000/所有指标!AH38</f>
        <v>2.7759979942613588E-2</v>
      </c>
      <c r="F34">
        <f>所有指标!AG38</f>
        <v>-1993</v>
      </c>
      <c r="G34">
        <f>所有指标!AH38</f>
        <v>7.1794000000000002</v>
      </c>
    </row>
    <row r="35" spans="1:7">
      <c r="A35" s="7">
        <f>所有指标!A39</f>
        <v>45823</v>
      </c>
      <c r="B35">
        <f>所有指标!U39</f>
        <v>7.1813000000000002</v>
      </c>
      <c r="C35">
        <f>(所有指标!B39-所有指标!E39)*100</f>
        <v>-276.60000000000002</v>
      </c>
      <c r="D35">
        <f>所有指标!V39</f>
        <v>98.144999999999996</v>
      </c>
      <c r="E35" s="17">
        <f>-所有指标!AG39/10000/所有指标!AH39</f>
        <v>2.8165683765438966E-2</v>
      </c>
      <c r="F35">
        <f>所有指标!AG39</f>
        <v>-2025</v>
      </c>
      <c r="G35">
        <f>所有指标!AH39</f>
        <v>7.1896000000000004</v>
      </c>
    </row>
    <row r="36" spans="1:7">
      <c r="A36" s="7">
        <f>所有指标!A40</f>
        <v>45816</v>
      </c>
      <c r="B36">
        <f>所有指标!U40</f>
        <v>7.1847000000000003</v>
      </c>
      <c r="C36">
        <f>(所有指标!B40-所有指标!E40)*100</f>
        <v>-285.52999999999997</v>
      </c>
      <c r="D36">
        <f>所有指标!V40</f>
        <v>99.203100000000006</v>
      </c>
      <c r="E36" s="17">
        <f>-所有指标!AG40/10000/所有指标!AH40</f>
        <v>2.8448215900396465E-2</v>
      </c>
      <c r="F36">
        <f>所有指标!AG40</f>
        <v>-2045</v>
      </c>
      <c r="G36">
        <f>所有指标!AH40</f>
        <v>7.1885000000000003</v>
      </c>
    </row>
    <row r="37" spans="1:7">
      <c r="A37" s="7">
        <f>所有指标!A41</f>
        <v>45809</v>
      </c>
      <c r="B37">
        <f>所有指标!U41</f>
        <v>7.1952999999999996</v>
      </c>
      <c r="C37">
        <f>(所有指标!B41-所有指标!E41)*100</f>
        <v>-273.88000000000005</v>
      </c>
      <c r="D37">
        <f>所有指标!V41</f>
        <v>99.439300000000003</v>
      </c>
      <c r="E37" s="17">
        <f>-所有指标!AG41/10000/所有指标!AH41</f>
        <v>2.8446541316866716E-2</v>
      </c>
      <c r="F37">
        <f>所有指标!AG41</f>
        <v>-2050</v>
      </c>
      <c r="G37">
        <f>所有指标!AH41</f>
        <v>7.2065000000000001</v>
      </c>
    </row>
    <row r="38" spans="1:7">
      <c r="A38" s="7">
        <f>所有指标!A42</f>
        <v>45802</v>
      </c>
      <c r="B38">
        <f>所有指标!U42</f>
        <v>7.1894999999999998</v>
      </c>
      <c r="C38">
        <f>(所有指标!B42-所有指标!E42)*100</f>
        <v>-278.91999999999996</v>
      </c>
      <c r="D38">
        <f>所有指标!V42</f>
        <v>99.123099999999994</v>
      </c>
      <c r="E38" s="17">
        <f>-所有指标!AG42/10000/所有指标!AH42</f>
        <v>2.8387384623964753E-2</v>
      </c>
      <c r="F38">
        <f>所有指标!AG42</f>
        <v>-2036</v>
      </c>
      <c r="G38">
        <f>所有指标!AH42</f>
        <v>7.1722000000000001</v>
      </c>
    </row>
    <row r="39" spans="1:7">
      <c r="A39" s="7">
        <f>所有指标!A43</f>
        <v>45795</v>
      </c>
      <c r="B39">
        <f>所有指标!U43</f>
        <v>7.2037000000000004</v>
      </c>
      <c r="C39">
        <f>(所有指标!B43-所有指标!E43)*100</f>
        <v>-275.07</v>
      </c>
      <c r="D39">
        <f>所有指标!V43</f>
        <v>100.9828</v>
      </c>
      <c r="E39" s="17">
        <f>-所有指标!AG43/10000/所有指标!AH43</f>
        <v>2.8918971400038834E-2</v>
      </c>
      <c r="F39">
        <f>所有指标!AG43</f>
        <v>-2085</v>
      </c>
      <c r="G39">
        <f>所有指标!AH43</f>
        <v>7.2098000000000004</v>
      </c>
    </row>
    <row r="40" spans="1:7">
      <c r="A40" s="7">
        <f>所有指标!A44</f>
        <v>45788</v>
      </c>
      <c r="B40">
        <f>所有指标!U44</f>
        <v>7.2461000000000002</v>
      </c>
      <c r="C40">
        <f>(所有指标!B44-所有指标!E44)*100</f>
        <v>-273.49</v>
      </c>
      <c r="D40">
        <f>所有指标!V44</f>
        <v>100.4218</v>
      </c>
      <c r="E40" s="17">
        <f>-所有指标!AG44/10000/所有指标!AH44</f>
        <v>2.9004723626419159E-2</v>
      </c>
      <c r="F40">
        <f>所有指标!AG44</f>
        <v>-2100</v>
      </c>
      <c r="G40">
        <f>所有指标!AH44</f>
        <v>7.2401999999999997</v>
      </c>
    </row>
    <row r="41" spans="1:7">
      <c r="A41" s="7">
        <f>所有指标!A45</f>
        <v>45781</v>
      </c>
      <c r="B41">
        <f>所有指标!U45</f>
        <v>7.2632000000000003</v>
      </c>
      <c r="C41">
        <f>(所有指标!B45-所有指标!E45)*100</f>
        <v>-270.57000000000005</v>
      </c>
      <c r="D41">
        <f>所有指标!V45</f>
        <v>100.0424</v>
      </c>
      <c r="E41" s="17">
        <f>-所有指标!AG45/10000/所有指标!AH45</f>
        <v>2.7082495527852121E-2</v>
      </c>
      <c r="F41">
        <f>所有指标!AG45</f>
        <v>-1953</v>
      </c>
      <c r="G41">
        <f>所有指标!AH45</f>
        <v>7.2112999999999996</v>
      </c>
    </row>
    <row r="42" spans="1:7">
      <c r="A42" s="7">
        <f>所有指标!A46</f>
        <v>45774</v>
      </c>
      <c r="B42">
        <f>所有指标!U46</f>
        <v>7.2831999999999999</v>
      </c>
      <c r="C42">
        <f>(所有指标!B46-所有指标!E46)*100</f>
        <v>-262.92999999999995</v>
      </c>
      <c r="D42">
        <f>所有指标!V46</f>
        <v>99.583600000000004</v>
      </c>
      <c r="E42" s="17">
        <f>-所有指标!AG46/10000/所有指标!AH46</f>
        <v>2.7658494423026793E-2</v>
      </c>
      <c r="F42">
        <f>所有指标!AG46</f>
        <v>-2016</v>
      </c>
      <c r="G42">
        <f>所有指标!AH46</f>
        <v>7.2888999999999999</v>
      </c>
    </row>
    <row r="43" spans="1:7">
      <c r="A43" s="7">
        <f>所有指标!A47</f>
        <v>45767</v>
      </c>
      <c r="B43">
        <f>所有指标!U47</f>
        <v>7.3038999999999996</v>
      </c>
      <c r="C43">
        <f>(所有指标!B47-所有指标!E47)*100</f>
        <v>-269.06999999999994</v>
      </c>
      <c r="D43">
        <f>所有指标!V47</f>
        <v>99.2286</v>
      </c>
      <c r="E43" s="17">
        <f>-所有指标!AG47/10000/所有指标!AH47</f>
        <v>2.8807316839410162E-2</v>
      </c>
      <c r="F43">
        <f>所有指标!AG47</f>
        <v>-2104</v>
      </c>
      <c r="G43">
        <f>所有指标!AH47</f>
        <v>7.3037000000000001</v>
      </c>
    </row>
    <row r="44" spans="1:7">
      <c r="A44" s="7">
        <f>所有指标!A48</f>
        <v>45760</v>
      </c>
      <c r="B44">
        <f>所有指标!U48</f>
        <v>7.3244999999999996</v>
      </c>
      <c r="C44">
        <f>(所有指标!B48-所有指标!E48)*100</f>
        <v>-282.32000000000005</v>
      </c>
      <c r="D44">
        <f>所有指标!V48</f>
        <v>99.769000000000005</v>
      </c>
      <c r="E44" s="17">
        <f>-所有指标!AG48/10000/所有指标!AH48</f>
        <v>2.8909672723277435E-2</v>
      </c>
      <c r="F44">
        <f>所有指标!AG48</f>
        <v>-2105</v>
      </c>
      <c r="G44">
        <f>所有指标!AH48</f>
        <v>7.2812999999999999</v>
      </c>
    </row>
    <row r="45" spans="1:7">
      <c r="A45" s="7">
        <f>所有指标!A49</f>
        <v>45753</v>
      </c>
      <c r="B45">
        <f>所有指标!U49</f>
        <v>7.3042999999999996</v>
      </c>
      <c r="C45">
        <f>(所有指标!B49-所有指标!E49)*100</f>
        <v>-229.2</v>
      </c>
      <c r="D45">
        <f>所有指标!V49</f>
        <v>102.91889999999999</v>
      </c>
      <c r="E45" s="17">
        <f>-所有指标!AG49/10000/所有指标!AH49</f>
        <v>2.7917112079598717E-2</v>
      </c>
      <c r="F45">
        <f>所有指标!AG49</f>
        <v>-2037</v>
      </c>
      <c r="G45">
        <f>所有指标!AH49</f>
        <v>7.2965999999999998</v>
      </c>
    </row>
    <row r="46" spans="1:7">
      <c r="A46" s="7">
        <f>所有指标!A50</f>
        <v>45746</v>
      </c>
      <c r="B46">
        <f>所有指标!U50</f>
        <v>7.2637</v>
      </c>
      <c r="C46">
        <f>(所有指标!B50-所有指标!E50)*100</f>
        <v>-245.73999999999998</v>
      </c>
      <c r="D46">
        <f>所有指标!V50</f>
        <v>104.03360000000001</v>
      </c>
      <c r="E46" s="17">
        <f>-所有指标!AG50/10000/所有指标!AH50</f>
        <v>2.7387650109358019E-2</v>
      </c>
      <c r="F46">
        <f>所有指标!AG50</f>
        <v>-1991</v>
      </c>
      <c r="G46">
        <f>所有指标!AH50</f>
        <v>7.2697000000000003</v>
      </c>
    </row>
    <row r="47" spans="1:7">
      <c r="A47" s="7">
        <f>所有指标!A51</f>
        <v>45739</v>
      </c>
      <c r="B47">
        <f>所有指标!U51</f>
        <v>7.2488999999999999</v>
      </c>
      <c r="C47">
        <f>(所有指标!B51-所有指标!E51)*100</f>
        <v>-240.42</v>
      </c>
      <c r="D47">
        <f>所有指标!V51</f>
        <v>104.154</v>
      </c>
      <c r="E47" s="17">
        <f>-所有指标!AG51/10000/所有指标!AH51</f>
        <v>2.7184171730114771E-2</v>
      </c>
      <c r="F47">
        <f>所有指标!AG51</f>
        <v>-1973</v>
      </c>
      <c r="G47">
        <f>所有指标!AH51</f>
        <v>7.2579000000000002</v>
      </c>
    </row>
    <row r="48" spans="1:7">
      <c r="A48" s="7">
        <f>所有指标!A52</f>
        <v>45732</v>
      </c>
      <c r="B48">
        <f>所有指标!U52</f>
        <v>7.2287999999999997</v>
      </c>
      <c r="C48">
        <f>(所有指标!B52-所有指标!E52)*100</f>
        <v>-247.82999999999996</v>
      </c>
      <c r="D48">
        <f>所有指标!V52</f>
        <v>103.7363</v>
      </c>
      <c r="E48" s="17">
        <f>-所有指标!AG52/10000/所有指标!AH52</f>
        <v>2.7824597275565747E-2</v>
      </c>
      <c r="F48">
        <f>所有指标!AG52</f>
        <v>-2014</v>
      </c>
      <c r="G48">
        <f>所有指标!AH52</f>
        <v>7.2382</v>
      </c>
    </row>
    <row r="49" spans="1:7">
      <c r="A49" s="7">
        <f>所有指标!A53</f>
        <v>45725</v>
      </c>
      <c r="B49">
        <f>所有指标!U53</f>
        <v>7.2382</v>
      </c>
      <c r="C49">
        <f>(所有指标!B53-所有指标!E53)*100</f>
        <v>-251.98000000000002</v>
      </c>
      <c r="D49">
        <f>所有指标!V53</f>
        <v>103.89449999999999</v>
      </c>
      <c r="E49" s="17">
        <f>-所有指标!AG53/10000/所有指标!AH53</f>
        <v>2.7031131359149582E-2</v>
      </c>
      <c r="F49">
        <f>所有指标!AG53</f>
        <v>-1958</v>
      </c>
      <c r="G49">
        <f>所有指标!AH53</f>
        <v>7.2435</v>
      </c>
    </row>
    <row r="50" spans="1:7">
      <c r="A50" s="7">
        <f>所有指标!A54</f>
        <v>45718</v>
      </c>
      <c r="B50">
        <f>所有指标!U54</f>
        <v>7.2838000000000003</v>
      </c>
      <c r="C50">
        <f>(所有指标!B54-所有指标!E54)*100</f>
        <v>-252.48</v>
      </c>
      <c r="D50">
        <f>所有指标!V54</f>
        <v>107.56440000000001</v>
      </c>
      <c r="E50" s="17">
        <f>-所有指标!AG54/10000/所有指标!AH54</f>
        <v>2.7690198766278276E-2</v>
      </c>
      <c r="F50">
        <f>所有指标!AG54</f>
        <v>-2020</v>
      </c>
      <c r="G50">
        <f>所有指标!AH54</f>
        <v>7.2949999999999999</v>
      </c>
    </row>
    <row r="51" spans="1:7">
      <c r="A51" s="7">
        <f>所有指标!A55</f>
        <v>45711</v>
      </c>
      <c r="B51">
        <f>所有指标!U55</f>
        <v>7.2553999999999998</v>
      </c>
      <c r="C51">
        <f>(所有指标!B55-所有指标!E55)*100</f>
        <v>-270</v>
      </c>
      <c r="D51">
        <f>所有指标!V55</f>
        <v>106.65009999999999</v>
      </c>
      <c r="E51" s="17">
        <f>-所有指标!AG55/10000/所有指标!AH55</f>
        <v>2.8749103744967183E-2</v>
      </c>
      <c r="F51">
        <f>所有指标!AG55</f>
        <v>-2085</v>
      </c>
      <c r="G51">
        <f>所有指标!AH55</f>
        <v>7.2523999999999997</v>
      </c>
    </row>
    <row r="52" spans="1:7">
      <c r="A52" s="7">
        <f>所有指标!A56</f>
        <v>45704</v>
      </c>
      <c r="B52">
        <f>所有指标!U56</f>
        <v>7.2653999999999996</v>
      </c>
      <c r="C52">
        <f>(所有指标!B56-所有指标!E56)*100</f>
        <v>-281.53999999999996</v>
      </c>
      <c r="D52">
        <f>所有指标!V56</f>
        <v>106.80370000000001</v>
      </c>
      <c r="E52" s="17">
        <f>-所有指标!AG56/10000/所有指标!AH56</f>
        <v>3.0793040747169185E-2</v>
      </c>
      <c r="F52">
        <f>所有指标!AG56</f>
        <v>-2235.39</v>
      </c>
      <c r="G52">
        <f>所有指标!AH56</f>
        <v>7.2594000000000003</v>
      </c>
    </row>
    <row r="53" spans="1:7">
      <c r="A53" s="7">
        <f>所有指标!A57</f>
        <v>45697</v>
      </c>
      <c r="B53">
        <f>所有指标!U57</f>
        <v>7.2888999999999999</v>
      </c>
      <c r="C53">
        <f>(所有指标!B57-所有指标!E57)*100</f>
        <v>-288.43000000000006</v>
      </c>
      <c r="D53">
        <f>所有指标!V57</f>
        <v>108.1001</v>
      </c>
      <c r="E53" s="17">
        <f>-所有指标!AG57/10000/所有指标!AH57</f>
        <v>3.1490457022371916E-2</v>
      </c>
      <c r="F53">
        <f>所有指标!AG57</f>
        <v>-2300</v>
      </c>
      <c r="G53">
        <f>所有指标!AH57</f>
        <v>7.3037999999999998</v>
      </c>
    </row>
    <row r="54" spans="1:7">
      <c r="A54" s="7">
        <f>所有指标!A58</f>
        <v>45690</v>
      </c>
      <c r="B54">
        <f>所有指标!U58</f>
        <v>7.2649999999999997</v>
      </c>
      <c r="C54">
        <f>(所有指标!B58-所有指标!E58)*100</f>
        <v>-295.01</v>
      </c>
      <c r="D54">
        <f>所有指标!V58</f>
        <v>108.51600000000001</v>
      </c>
      <c r="E54" s="17">
        <f>-所有指标!AG58/10000/所有指标!AH58</f>
        <v>3.1070321355895169E-2</v>
      </c>
      <c r="F54">
        <f>所有指标!AG58</f>
        <v>-2275</v>
      </c>
      <c r="G54">
        <f>所有指标!AH58</f>
        <v>7.3220999999999998</v>
      </c>
    </row>
    <row r="55" spans="1:7">
      <c r="A55" s="7">
        <f>所有指标!A59</f>
        <v>45683</v>
      </c>
      <c r="B55">
        <f>所有指标!U59</f>
        <v>7.2412000000000001</v>
      </c>
      <c r="C55">
        <f>(所有指标!B59-所有指标!E59)*100</f>
        <v>-297.63</v>
      </c>
      <c r="D55">
        <f>所有指标!V59</f>
        <v>107.4804</v>
      </c>
      <c r="E55" s="17">
        <f>-所有指标!AG59/10000/所有指标!AH59</f>
        <v>3.1031293568736799E-2</v>
      </c>
      <c r="F55">
        <f>所有指标!AG59</f>
        <v>-2248</v>
      </c>
      <c r="G55">
        <f>所有指标!AH59</f>
        <v>7.2443</v>
      </c>
    </row>
    <row r="56" spans="1:7">
      <c r="A56" s="7">
        <f>所有指标!A60</f>
        <v>45676</v>
      </c>
      <c r="B56">
        <f>所有指标!U60</f>
        <v>7.3284000000000002</v>
      </c>
      <c r="C56">
        <f>(所有指标!B60-所有指标!E60)*100</f>
        <v>-295.07000000000005</v>
      </c>
      <c r="D56">
        <f>所有指标!V60</f>
        <v>109.3792</v>
      </c>
      <c r="E56" s="17">
        <f>-所有指标!AG60/10000/所有指标!AH60</f>
        <v>3.1330881351314538E-2</v>
      </c>
      <c r="F56">
        <f>所有指标!AG60</f>
        <v>-2300</v>
      </c>
      <c r="G56">
        <f>所有指标!AH60</f>
        <v>7.3410000000000002</v>
      </c>
    </row>
    <row r="57" spans="1:7">
      <c r="A57" s="7">
        <f>所有指标!A61</f>
        <v>45669</v>
      </c>
      <c r="B57">
        <f>所有指标!U61</f>
        <v>7.3326000000000002</v>
      </c>
      <c r="C57">
        <f>(所有指标!B61-所有指标!E61)*100</f>
        <v>-313.61999999999995</v>
      </c>
      <c r="D57">
        <f>所有指标!V61</f>
        <v>109.6567</v>
      </c>
      <c r="E57" s="17">
        <f>-所有指标!AG61/10000/所有指标!AH61</f>
        <v>3.1432063556732531E-2</v>
      </c>
      <c r="F57">
        <f>所有指标!AG61</f>
        <v>-2314.5</v>
      </c>
      <c r="G57">
        <f>所有指标!AH61</f>
        <v>7.3635000000000002</v>
      </c>
    </row>
    <row r="58" spans="1:7">
      <c r="A58" s="7">
        <f>所有指标!A62</f>
        <v>45662</v>
      </c>
      <c r="B58">
        <f>所有指标!U62</f>
        <v>7.3093000000000004</v>
      </c>
      <c r="C58">
        <f>(所有指标!B62-所有指标!E62)*100</f>
        <v>-299.58999999999997</v>
      </c>
      <c r="D58">
        <f>所有指标!V62</f>
        <v>108.9212</v>
      </c>
      <c r="E58" s="17">
        <f>-所有指标!AG62/10000/所有指标!AH62</f>
        <v>3.1760484901198663E-2</v>
      </c>
      <c r="F58">
        <f>所有指标!AG62</f>
        <v>-2337</v>
      </c>
      <c r="G58">
        <f>所有指标!AH62</f>
        <v>7.3582000000000001</v>
      </c>
    </row>
    <row r="59" spans="1:7">
      <c r="A59" s="7">
        <f>所有指标!A63</f>
        <v>45655</v>
      </c>
      <c r="B59">
        <f>所有指标!U63</f>
        <v>7.2991999999999999</v>
      </c>
      <c r="C59">
        <f>(所有指标!B63-所有指标!E63)*100</f>
        <v>-292.71000000000004</v>
      </c>
      <c r="D59">
        <f>所有指标!V63</f>
        <v>108.0151</v>
      </c>
      <c r="E59" s="17">
        <f>-所有指标!AG63/10000/所有指标!AH63</f>
        <v>3.4312248308358217E-2</v>
      </c>
      <c r="F59">
        <f>所有指标!AG63</f>
        <v>-2505</v>
      </c>
      <c r="G59">
        <f>所有指标!AH63</f>
        <v>7.3006000000000002</v>
      </c>
    </row>
    <row r="60" spans="1:7">
      <c r="A60" s="7">
        <f>所有指标!A64</f>
        <v>45648</v>
      </c>
      <c r="B60">
        <f>所有指标!U64</f>
        <v>7.2984999999999998</v>
      </c>
      <c r="C60">
        <f>(所有指标!B64-所有指标!E64)*100</f>
        <v>-281.81999999999994</v>
      </c>
      <c r="D60">
        <f>所有指标!V64</f>
        <v>107.8408</v>
      </c>
      <c r="E60" s="17">
        <f>-所有指标!AG64/10000/所有指标!AH64</f>
        <v>3.3760250116556506E-2</v>
      </c>
      <c r="F60">
        <f>所有指标!AG64</f>
        <v>-2462</v>
      </c>
      <c r="G60">
        <f>所有指标!AH64</f>
        <v>7.2926000000000002</v>
      </c>
    </row>
    <row r="61" spans="1:7">
      <c r="A61" s="7">
        <f>所有指标!A65</f>
        <v>45641</v>
      </c>
      <c r="B61">
        <f>所有指标!U65</f>
        <v>7.2794999999999996</v>
      </c>
      <c r="C61">
        <f>(所有指标!B65-所有指标!E65)*100</f>
        <v>-262.29000000000002</v>
      </c>
      <c r="D61">
        <f>所有指标!V65</f>
        <v>106.94280000000001</v>
      </c>
      <c r="E61" s="17">
        <f>-所有指标!AG65/10000/所有指标!AH65</f>
        <v>3.2694553197334983E-2</v>
      </c>
      <c r="F61">
        <f>所有指标!AG65</f>
        <v>-2380</v>
      </c>
      <c r="G61">
        <f>所有指标!AH65</f>
        <v>7.2794999999999996</v>
      </c>
    </row>
    <row r="62" spans="1:7">
      <c r="A62" s="7">
        <f>所有指标!A66</f>
        <v>45634</v>
      </c>
      <c r="B62">
        <f>所有指标!U66</f>
        <v>7.2582000000000004</v>
      </c>
      <c r="C62">
        <f>(所有指标!B66-所有指标!E66)*100</f>
        <v>-219.61000000000004</v>
      </c>
      <c r="D62">
        <f>所有指标!V66</f>
        <v>105.97020000000001</v>
      </c>
      <c r="E62" s="17">
        <f>-所有指标!AG66/10000/所有指标!AH66</f>
        <v>3.0890045168110492E-2</v>
      </c>
      <c r="F62">
        <f>所有指标!AG66</f>
        <v>-2250</v>
      </c>
      <c r="G62">
        <f>所有指标!AH66</f>
        <v>7.2839</v>
      </c>
    </row>
    <row r="63" spans="1:7">
      <c r="A63" s="7">
        <f>所有指标!A67</f>
        <v>45627</v>
      </c>
      <c r="B63">
        <f>所有指标!U67</f>
        <v>7.2332000000000001</v>
      </c>
      <c r="C63">
        <f>(所有指标!B67-所有指标!E67)*100</f>
        <v>-215.93999999999997</v>
      </c>
      <c r="D63">
        <f>所有指标!V67</f>
        <v>105.7761</v>
      </c>
      <c r="E63" s="17">
        <f>-所有指标!AG67/10000/所有指标!AH67</f>
        <v>3.0255787643828812E-2</v>
      </c>
      <c r="F63">
        <f>所有指标!AG67</f>
        <v>-2193</v>
      </c>
      <c r="G63">
        <f>所有指标!AH67</f>
        <v>7.2481999999999998</v>
      </c>
    </row>
    <row r="64" spans="1:7">
      <c r="A64" s="7">
        <f>所有指标!A68</f>
        <v>45620</v>
      </c>
      <c r="B64">
        <f>所有指标!U68</f>
        <v>7.2451999999999996</v>
      </c>
      <c r="C64">
        <f>(所有指标!B68-所有指标!E68)*100</f>
        <v>-232.68</v>
      </c>
      <c r="D64">
        <f>所有指标!V68</f>
        <v>107.4911</v>
      </c>
      <c r="E64" s="17">
        <f>-所有指标!AG68/10000/所有指标!AH68</f>
        <v>3.1061889609763492E-2</v>
      </c>
      <c r="F64">
        <f>所有指标!AG68</f>
        <v>-2255</v>
      </c>
      <c r="G64">
        <f>所有指标!AH68</f>
        <v>7.2596999999999996</v>
      </c>
    </row>
    <row r="65" spans="1:7">
      <c r="A65" s="7">
        <f>所有指标!A69</f>
        <v>45613</v>
      </c>
      <c r="B65">
        <f>所有指标!U69</f>
        <v>7.2309999999999999</v>
      </c>
      <c r="C65">
        <f>(所有指标!B69-所有指标!E69)*100</f>
        <v>-233.51999999999995</v>
      </c>
      <c r="D65">
        <f>所有指标!V69</f>
        <v>106.6842</v>
      </c>
      <c r="E65" s="17">
        <f>-所有指标!AG69/10000/所有指标!AH69</f>
        <v>3.0707148878539543E-2</v>
      </c>
      <c r="F65">
        <f>所有指标!AG69</f>
        <v>-2222</v>
      </c>
      <c r="G65">
        <f>所有指标!AH69</f>
        <v>7.2361000000000004</v>
      </c>
    </row>
    <row r="66" spans="1:7">
      <c r="A66" s="7">
        <f>所有指标!A70</f>
        <v>45606</v>
      </c>
      <c r="B66">
        <f>所有指标!U70</f>
        <v>7.1647999999999996</v>
      </c>
      <c r="C66">
        <f>(所有指标!B70-所有指标!E70)*100</f>
        <v>-219.32999999999998</v>
      </c>
      <c r="D66">
        <f>所有指标!V70</f>
        <v>104.9521</v>
      </c>
      <c r="E66" s="17">
        <f>-所有指标!AG70/10000/所有指标!AH70</f>
        <v>2.9615224336713434E-2</v>
      </c>
      <c r="F66">
        <f>所有指标!AG70</f>
        <v>-2132</v>
      </c>
      <c r="G66">
        <f>所有指标!AH70</f>
        <v>7.1989999999999998</v>
      </c>
    </row>
    <row r="67" spans="1:7">
      <c r="A67" s="7">
        <f>所有指标!A71</f>
        <v>45599</v>
      </c>
      <c r="B67">
        <f>所有指标!U71</f>
        <v>7.125</v>
      </c>
      <c r="C67">
        <f>(所有指标!B71-所有指标!E71)*100</f>
        <v>-222.94</v>
      </c>
      <c r="D67">
        <f>所有指标!V71</f>
        <v>104.3228</v>
      </c>
      <c r="E67" s="17">
        <f>-所有指标!AG71/10000/所有指标!AH71</f>
        <v>3.0160397842684039E-2</v>
      </c>
      <c r="F67">
        <f>所有指标!AG71</f>
        <v>-2153</v>
      </c>
      <c r="G67">
        <f>所有指标!AH71</f>
        <v>7.1384999999999996</v>
      </c>
    </row>
    <row r="68" spans="1:7">
      <c r="A68" s="7">
        <f>所有指标!A72</f>
        <v>45592</v>
      </c>
      <c r="B68">
        <f>所有指标!U72</f>
        <v>7.1219000000000001</v>
      </c>
      <c r="C68">
        <f>(所有指标!B72-所有指标!E72)*100</f>
        <v>-209.60999999999999</v>
      </c>
      <c r="D68">
        <f>所有指标!V72</f>
        <v>104.31529999999999</v>
      </c>
      <c r="E68" s="17">
        <f>-所有指标!AG72/10000/所有指标!AH72</f>
        <v>3.0062648035766842E-2</v>
      </c>
      <c r="F68">
        <f>所有指标!AG72</f>
        <v>-2145</v>
      </c>
      <c r="G68">
        <f>所有指标!AH72</f>
        <v>7.1351000000000004</v>
      </c>
    </row>
    <row r="69" spans="1:7">
      <c r="A69" s="7">
        <f>所有指标!A73</f>
        <v>45585</v>
      </c>
      <c r="B69">
        <f>所有指标!U73</f>
        <v>7.1035000000000004</v>
      </c>
      <c r="C69">
        <f>(所有指标!B73-所有指标!E73)*100</f>
        <v>-195.91000000000003</v>
      </c>
      <c r="D69">
        <f>所有指标!V73</f>
        <v>103.4615</v>
      </c>
      <c r="E69" s="17">
        <f>-所有指标!AG73/10000/所有指标!AH73</f>
        <v>2.7774265604585492E-2</v>
      </c>
      <c r="F69">
        <f>所有指标!AG73</f>
        <v>-1977</v>
      </c>
      <c r="G69">
        <f>所有指标!AH73</f>
        <v>7.1181000000000001</v>
      </c>
    </row>
    <row r="70" spans="1:7">
      <c r="A70" s="7">
        <f>所有指标!A74</f>
        <v>45578</v>
      </c>
      <c r="B70">
        <f>所有指标!U74</f>
        <v>7.0675999999999997</v>
      </c>
      <c r="C70">
        <f>(所有指标!B74-所有指标!E74)*100</f>
        <v>-193.59000000000003</v>
      </c>
      <c r="D70">
        <f>所有指标!V74</f>
        <v>102.9254</v>
      </c>
      <c r="E70" s="17">
        <f>-所有指标!AG74/10000/所有指标!AH74</f>
        <v>2.5769404842724598E-2</v>
      </c>
      <c r="F70">
        <f>所有指标!AG74</f>
        <v>-1822</v>
      </c>
      <c r="G70">
        <f>所有指标!AH74</f>
        <v>7.0704000000000002</v>
      </c>
    </row>
    <row r="71" spans="1:7">
      <c r="A71" s="7">
        <f>所有指标!A75</f>
        <v>45571</v>
      </c>
      <c r="B71">
        <f>所有指标!U75</f>
        <v>7.0156000000000001</v>
      </c>
      <c r="C71">
        <f>(所有指标!B75-所有指标!E75)*100</f>
        <v>-182.82</v>
      </c>
      <c r="D71">
        <f>所有指标!V75</f>
        <v>102.49299999999999</v>
      </c>
      <c r="E71" s="17">
        <f>-所有指标!AG75/10000/所有指标!AH75</f>
        <v>2.3961121284687983E-2</v>
      </c>
      <c r="F71">
        <f>所有指标!AG75</f>
        <v>-1701</v>
      </c>
      <c r="G71">
        <f>所有指标!AH75</f>
        <v>7.0990000000000002</v>
      </c>
    </row>
    <row r="72" spans="1:7">
      <c r="A72" s="7">
        <f>所有指标!A76</f>
        <v>45564</v>
      </c>
      <c r="B72">
        <f>所有指标!U76</f>
        <v>7.016</v>
      </c>
      <c r="C72">
        <f>(所有指标!B76-所有指标!E76)*100</f>
        <v>-149.66</v>
      </c>
      <c r="D72">
        <f>所有指标!V76</f>
        <v>100.4199</v>
      </c>
      <c r="E72" s="17">
        <f>-所有指标!AG76/10000/所有指标!AH76</f>
        <v>2.4923367805884205E-2</v>
      </c>
      <c r="F72">
        <f>所有指标!AG76</f>
        <v>-1740</v>
      </c>
      <c r="G72">
        <f>所有指标!AH76</f>
        <v>6.9813999999999998</v>
      </c>
    </row>
    <row r="73" spans="1:7">
      <c r="A73" s="7">
        <f>所有指标!A77</f>
        <v>45557</v>
      </c>
      <c r="B73">
        <f>所有指标!U77</f>
        <v>7.0552000000000001</v>
      </c>
      <c r="C73">
        <f>(所有指标!B77-所有指标!E77)*100</f>
        <v>-168.69</v>
      </c>
      <c r="D73">
        <f>所有指标!V77</f>
        <v>100.73350000000001</v>
      </c>
      <c r="E73" s="17">
        <f>-所有指标!AG77/10000/所有指标!AH77</f>
        <v>2.6272064984307768E-2</v>
      </c>
      <c r="F73">
        <f>所有指标!AG77</f>
        <v>-1850</v>
      </c>
      <c r="G73">
        <f>所有指标!AH77</f>
        <v>7.0416999999999996</v>
      </c>
    </row>
    <row r="74" spans="1:7">
      <c r="A74" s="7">
        <f>所有指标!A78</f>
        <v>45550</v>
      </c>
      <c r="B74">
        <f>所有指标!U78</f>
        <v>7.0942999999999996</v>
      </c>
      <c r="C74">
        <f>(所有指标!B78-所有指标!E78)*100</f>
        <v>-161.75000000000003</v>
      </c>
      <c r="D74">
        <f>所有指标!V78</f>
        <v>101.111</v>
      </c>
      <c r="E74" s="17">
        <f>-所有指标!AG78/10000/所有指标!AH78</f>
        <v>2.8672421805686604E-2</v>
      </c>
      <c r="F74">
        <f>所有指标!AG78</f>
        <v>-2036</v>
      </c>
      <c r="G74">
        <f>所有指标!AH78</f>
        <v>7.1009000000000002</v>
      </c>
    </row>
    <row r="75" spans="1:7">
      <c r="A75" s="7">
        <f>所有指标!A79</f>
        <v>45543</v>
      </c>
      <c r="B75">
        <f>所有指标!U79</f>
        <v>7.0881999999999996</v>
      </c>
      <c r="C75">
        <f>(所有指标!B79-所有指标!E79)*100</f>
        <v>-158.12000000000003</v>
      </c>
      <c r="D75">
        <f>所有指标!V79</f>
        <v>101.18300000000001</v>
      </c>
      <c r="E75" s="17">
        <f>-所有指标!AG79/10000/所有指标!AH79</f>
        <v>2.988272440234551E-2</v>
      </c>
      <c r="F75">
        <f>所有指标!AG79</f>
        <v>-2120</v>
      </c>
      <c r="G75">
        <f>所有指标!AH79</f>
        <v>7.0944000000000003</v>
      </c>
    </row>
    <row r="76" spans="1:7">
      <c r="A76" s="7">
        <f>所有指标!A80</f>
        <v>45536</v>
      </c>
      <c r="B76">
        <f>所有指标!U80</f>
        <v>7.0880999999999998</v>
      </c>
      <c r="C76">
        <f>(所有指标!B80-所有指标!E80)*100</f>
        <v>-173.96000000000004</v>
      </c>
      <c r="D76">
        <f>所有指标!V80</f>
        <v>101.732</v>
      </c>
      <c r="E76" s="17">
        <f>-所有指标!AG80/10000/所有指标!AH80</f>
        <v>2.8545639174094549E-2</v>
      </c>
      <c r="F76">
        <f>所有指标!AG80</f>
        <v>-2024</v>
      </c>
      <c r="G76">
        <f>所有指标!AH80</f>
        <v>7.0903999999999998</v>
      </c>
    </row>
    <row r="77" spans="1:7">
      <c r="A77" s="7">
        <f>所有指标!A81</f>
        <v>45529</v>
      </c>
      <c r="B77">
        <f>所有指标!U81</f>
        <v>7.1368</v>
      </c>
      <c r="C77">
        <f>(所有指标!B81-所有指标!E81)*100</f>
        <v>-165.53</v>
      </c>
      <c r="D77">
        <f>所有指标!V81</f>
        <v>100.6824</v>
      </c>
      <c r="E77" s="17">
        <f>-所有指标!AG81/10000/所有指标!AH81</f>
        <v>3.1506021556751591E-2</v>
      </c>
      <c r="F77">
        <f>所有指标!AG81</f>
        <v>-2242</v>
      </c>
      <c r="G77">
        <f>所有指标!AH81</f>
        <v>7.1161000000000003</v>
      </c>
    </row>
    <row r="78" spans="1:7">
      <c r="A78" s="7">
        <f>所有指标!A82</f>
        <v>45522</v>
      </c>
      <c r="B78">
        <f>所有指标!U82</f>
        <v>7.1680000000000001</v>
      </c>
      <c r="C78">
        <f>(所有指标!B82-所有指标!E82)*100</f>
        <v>-169.22000000000003</v>
      </c>
      <c r="D78">
        <f>所有指标!V82</f>
        <v>102.404</v>
      </c>
      <c r="E78" s="17">
        <f>-所有指标!AG82/10000/所有指标!AH82</f>
        <v>3.3435244517038713E-2</v>
      </c>
      <c r="F78">
        <f>所有指标!AG82</f>
        <v>-2395</v>
      </c>
      <c r="G78">
        <f>所有指标!AH82</f>
        <v>7.1631</v>
      </c>
    </row>
    <row r="79" spans="1:7">
      <c r="A79" s="7">
        <f>所有指标!A83</f>
        <v>45515</v>
      </c>
      <c r="B79">
        <f>所有指标!U83</f>
        <v>7.1745999999999999</v>
      </c>
      <c r="C79">
        <f>(所有指标!B83-所有指标!E83)*100</f>
        <v>-174.14000000000001</v>
      </c>
      <c r="D79">
        <f>所有指标!V83</f>
        <v>103.15179999999999</v>
      </c>
      <c r="E79" s="17">
        <f>-所有指标!AG83/10000/所有指标!AH83</f>
        <v>3.3869011944750303E-2</v>
      </c>
      <c r="F79">
        <f>所有指标!AG83</f>
        <v>-2430</v>
      </c>
      <c r="G79">
        <f>所有指标!AH83</f>
        <v>7.1746999999999996</v>
      </c>
    </row>
    <row r="80" spans="1:7">
      <c r="A80" s="7">
        <f>所有指标!A84</f>
        <v>45508</v>
      </c>
      <c r="B80">
        <f>所有指标!U84</f>
        <v>7.2149999999999999</v>
      </c>
      <c r="C80">
        <f>(所有指标!B84-所有指标!E84)*100</f>
        <v>-167.23</v>
      </c>
      <c r="D80">
        <f>所有指标!V84</f>
        <v>103.2295</v>
      </c>
      <c r="E80" s="17">
        <f>-所有指标!AG84/10000/所有指标!AH84</f>
        <v>3.8474420162438246E-2</v>
      </c>
      <c r="F80">
        <f>所有指标!AG84</f>
        <v>-2757</v>
      </c>
      <c r="G80">
        <f>所有指标!AH84</f>
        <v>7.1657999999999999</v>
      </c>
    </row>
    <row r="81" spans="1:7">
      <c r="A81" s="7">
        <f>所有指标!A85</f>
        <v>45501</v>
      </c>
      <c r="B81">
        <f>所有指标!U85</f>
        <v>7.2535999999999996</v>
      </c>
      <c r="C81">
        <f>(所有指标!B85-所有指标!E85)*100</f>
        <v>-200.56000000000003</v>
      </c>
      <c r="D81">
        <f>所有指标!V85</f>
        <v>104.3233</v>
      </c>
      <c r="E81" s="17">
        <f>-所有指标!AG85/10000/所有指标!AH85</f>
        <v>4.0064433521952832E-2</v>
      </c>
      <c r="F81">
        <f>所有指标!AG85</f>
        <v>-2910</v>
      </c>
      <c r="G81">
        <f>所有指标!AH85</f>
        <v>7.2633000000000001</v>
      </c>
    </row>
    <row r="82" spans="1:7">
      <c r="A82" s="7">
        <f>所有指标!A86</f>
        <v>45494</v>
      </c>
      <c r="B82">
        <f>所有指标!U86</f>
        <v>7.2671999999999999</v>
      </c>
      <c r="C82">
        <f>(所有指标!B86-所有指标!E86)*100</f>
        <v>-198.85999999999999</v>
      </c>
      <c r="D82">
        <f>所有指标!V86</f>
        <v>104.36539999999999</v>
      </c>
      <c r="E82" s="17">
        <f>-所有指标!AG86/10000/所有指标!AH86</f>
        <v>3.9666744444596946E-2</v>
      </c>
      <c r="F82">
        <f>所有指标!AG86</f>
        <v>-2890</v>
      </c>
      <c r="G82">
        <f>所有指标!AH86</f>
        <v>7.2857000000000003</v>
      </c>
    </row>
    <row r="83" spans="1:7">
      <c r="A83" s="7">
        <f>所有指标!A87</f>
        <v>45487</v>
      </c>
      <c r="B83">
        <f>所有指标!U87</f>
        <v>7.2584999999999997</v>
      </c>
      <c r="C83">
        <f>(所有指标!B87-所有指标!E87)*100</f>
        <v>-191.95999999999995</v>
      </c>
      <c r="D83">
        <f>所有指标!V87</f>
        <v>104.0997</v>
      </c>
      <c r="E83" s="17">
        <f>-所有指标!AG87/10000/所有指标!AH87</f>
        <v>3.9779299533847616E-2</v>
      </c>
      <c r="F83">
        <f>所有指标!AG87</f>
        <v>-2892.87</v>
      </c>
      <c r="G83">
        <f>所有指标!AH87</f>
        <v>7.2723000000000004</v>
      </c>
    </row>
    <row r="84" spans="1:7">
      <c r="A84" s="7">
        <f>所有指标!A88</f>
        <v>45480</v>
      </c>
      <c r="B84">
        <f>所有指标!U88</f>
        <v>7.2674000000000003</v>
      </c>
      <c r="C84">
        <f>(所有指标!B88-所有指标!E88)*100</f>
        <v>-200.46000000000004</v>
      </c>
      <c r="D84">
        <f>所有指标!V88</f>
        <v>104.8689</v>
      </c>
      <c r="E84" s="17">
        <f>-所有指标!AG88/10000/所有指标!AH88</f>
        <v>4.0167915054737019E-2</v>
      </c>
      <c r="F84">
        <f>所有指标!AG88</f>
        <v>-2928</v>
      </c>
      <c r="G84">
        <f>所有指标!AH88</f>
        <v>7.2893999999999997</v>
      </c>
    </row>
    <row r="85" spans="1:7">
      <c r="A85" s="7">
        <f>所有指标!A89</f>
        <v>45473</v>
      </c>
      <c r="B85">
        <f>所有指标!U89</f>
        <v>7.2659000000000002</v>
      </c>
      <c r="C85">
        <f>(所有指标!B89-所有指标!E89)*100</f>
        <v>-215.42000000000004</v>
      </c>
      <c r="D85">
        <f>所有指标!V89</f>
        <v>105.84269999999999</v>
      </c>
      <c r="E85" s="17">
        <f>-所有指标!AG89/10000/所有指标!AH89</f>
        <v>4.0440572086141713E-2</v>
      </c>
      <c r="F85">
        <f>所有指标!AG89</f>
        <v>-2952</v>
      </c>
      <c r="G85">
        <f>所有指标!AH89</f>
        <v>7.2995999999999999</v>
      </c>
    </row>
    <row r="86" spans="1:7">
      <c r="A86" s="7">
        <f>所有指标!A90</f>
        <v>45466</v>
      </c>
      <c r="B86">
        <f>所有指标!U90</f>
        <v>7.2613000000000003</v>
      </c>
      <c r="C86">
        <f>(所有指标!B90-所有指标!E90)*100</f>
        <v>-199.29000000000002</v>
      </c>
      <c r="D86">
        <f>所有指标!V90</f>
        <v>105.82510000000001</v>
      </c>
      <c r="E86" s="17">
        <f>-所有指标!AG90/10000/所有指标!AH90</f>
        <v>4.0230436869899189E-2</v>
      </c>
      <c r="F86">
        <f>所有指标!AG90</f>
        <v>-2933</v>
      </c>
      <c r="G86">
        <f>所有指标!AH90</f>
        <v>7.2904999999999998</v>
      </c>
    </row>
    <row r="87" spans="1:7">
      <c r="A87" s="7">
        <f>所有指标!A91</f>
        <v>45459</v>
      </c>
      <c r="B87">
        <f>所有指标!U91</f>
        <v>7.2557</v>
      </c>
      <c r="C87">
        <f>(所有指标!B91-所有指标!E91)*100</f>
        <v>-194.42000000000004</v>
      </c>
      <c r="D87">
        <f>所有指标!V91</f>
        <v>105.52670000000001</v>
      </c>
      <c r="E87" s="17">
        <f>-所有指标!AG91/10000/所有指标!AH91</f>
        <v>3.9994498693439691E-2</v>
      </c>
      <c r="F87">
        <f>所有指标!AG91</f>
        <v>-2908</v>
      </c>
      <c r="G87">
        <f>所有指标!AH91</f>
        <v>7.2709999999999999</v>
      </c>
    </row>
    <row r="88" spans="1:7">
      <c r="A88" s="7">
        <f>所有指标!A92</f>
        <v>45452</v>
      </c>
      <c r="B88">
        <f>所有指标!U92</f>
        <v>7.2426000000000004</v>
      </c>
      <c r="C88">
        <f>(所有指标!B92-所有指标!E92)*100</f>
        <v>-214.66999999999996</v>
      </c>
      <c r="D88">
        <f>所有指标!V92</f>
        <v>104.9395</v>
      </c>
      <c r="E88" s="17">
        <f>-所有指标!AG92/10000/所有指标!AH92</f>
        <v>4.006498513052098E-2</v>
      </c>
      <c r="F88">
        <f>所有指标!AG92</f>
        <v>-2910</v>
      </c>
      <c r="G88">
        <f>所有指标!AH92</f>
        <v>7.2632000000000003</v>
      </c>
    </row>
    <row r="89" spans="1:7">
      <c r="A89" s="7">
        <f>所有指标!A93</f>
        <v>45445</v>
      </c>
      <c r="B89">
        <f>所有指标!U93</f>
        <v>7.2439999999999998</v>
      </c>
      <c r="C89">
        <f>(所有指标!B93-所有指标!E93)*100</f>
        <v>-221.73999999999995</v>
      </c>
      <c r="D89">
        <f>所有指标!V93</f>
        <v>104.6318</v>
      </c>
      <c r="E89" s="17">
        <f>-所有指标!AG93/10000/所有指标!AH93</f>
        <v>3.9954840841502366E-2</v>
      </c>
      <c r="F89">
        <f>所有指标!AG93</f>
        <v>-2902</v>
      </c>
      <c r="G89">
        <f>所有指标!AH93</f>
        <v>7.2632000000000003</v>
      </c>
    </row>
    <row r="90" spans="1:7">
      <c r="A90" s="7">
        <f>所有指标!A94</f>
        <v>45438</v>
      </c>
      <c r="B90">
        <f>所有指标!U94</f>
        <v>7.2446999999999999</v>
      </c>
      <c r="C90">
        <f>(所有指标!B94-所有指标!E94)*100</f>
        <v>-214.66</v>
      </c>
      <c r="D90">
        <f>所有指标!V94</f>
        <v>104.74209999999999</v>
      </c>
      <c r="E90" s="17">
        <f>-所有指标!AG94/10000/所有指标!AH94</f>
        <v>4.0348123054889967E-2</v>
      </c>
      <c r="F90">
        <f>所有指标!AG94</f>
        <v>-2930</v>
      </c>
      <c r="G90">
        <f>所有指标!AH94</f>
        <v>7.2618</v>
      </c>
    </row>
    <row r="91" spans="1:7">
      <c r="A91" s="7">
        <f>所有指标!A95</f>
        <v>45431</v>
      </c>
      <c r="B91">
        <f>所有指标!U95</f>
        <v>7.2241999999999997</v>
      </c>
      <c r="C91">
        <f>(所有指标!B95-所有指标!E95)*100</f>
        <v>-211.23</v>
      </c>
      <c r="D91">
        <f>所有指标!V95</f>
        <v>104.4932</v>
      </c>
      <c r="E91" s="17">
        <f>-所有指标!AG95/10000/所有指标!AH95</f>
        <v>3.9675408159033414E-2</v>
      </c>
      <c r="F91">
        <f>所有指标!AG95</f>
        <v>-2870</v>
      </c>
      <c r="G91">
        <f>所有指标!AH95</f>
        <v>7.2336999999999998</v>
      </c>
    </row>
    <row r="92" spans="1:7">
      <c r="A92" s="7">
        <f>所有指标!A96</f>
        <v>45424</v>
      </c>
      <c r="B92">
        <f>所有指标!U96</f>
        <v>7.2245999999999997</v>
      </c>
      <c r="C92">
        <f>(所有指标!B96-所有指标!E96)*100</f>
        <v>-216.39</v>
      </c>
      <c r="D92">
        <f>所有指标!V96</f>
        <v>105.32769999999999</v>
      </c>
      <c r="E92" s="17">
        <f>-所有指标!AG96/10000/所有指标!AH96</f>
        <v>3.8579564303881458E-2</v>
      </c>
      <c r="F92">
        <f>所有指标!AG96</f>
        <v>-2791</v>
      </c>
      <c r="G92">
        <f>所有指标!AH96</f>
        <v>7.2343999999999999</v>
      </c>
    </row>
    <row r="93" spans="1:7">
      <c r="A93" s="7">
        <f>所有指标!A97</f>
        <v>45417</v>
      </c>
      <c r="B93">
        <f>所有指标!U97</f>
        <v>7.2416</v>
      </c>
      <c r="C93">
        <f>(所有指标!B97-所有指标!E97)*100</f>
        <v>-219.72</v>
      </c>
      <c r="D93">
        <f>所有指标!V97</f>
        <v>105.0851</v>
      </c>
      <c r="E93" s="17">
        <f>-所有指标!AG97/10000/所有指标!AH97</f>
        <v>3.907336336837422E-2</v>
      </c>
      <c r="F93">
        <f>所有指标!AG97</f>
        <v>-2810</v>
      </c>
      <c r="G93">
        <f>所有指标!AH97</f>
        <v>7.1916000000000002</v>
      </c>
    </row>
    <row r="94" spans="1:7">
      <c r="A94" s="7">
        <f>所有指标!A98</f>
        <v>45410</v>
      </c>
      <c r="B94">
        <f>所有指标!U98</f>
        <v>7.2462999999999997</v>
      </c>
      <c r="C94">
        <f>(所有指标!B98-所有指标!E98)*100</f>
        <v>-234.56</v>
      </c>
      <c r="D94">
        <f>所有指标!V98</f>
        <v>106.0902</v>
      </c>
      <c r="E94" s="17">
        <f>-所有指标!AG98/10000/所有指标!AH98</f>
        <v>3.9566365837552284E-2</v>
      </c>
      <c r="F94">
        <f>所有指标!AG98</f>
        <v>-2876</v>
      </c>
      <c r="G94">
        <f>所有指标!AH98</f>
        <v>7.2687999999999997</v>
      </c>
    </row>
    <row r="95" spans="1:7">
      <c r="A95" s="7">
        <f>所有指标!A99</f>
        <v>45403</v>
      </c>
      <c r="B95">
        <f>所有指标!U99</f>
        <v>7.2401</v>
      </c>
      <c r="C95">
        <f>(所有指标!B99-所有指标!E99)*100</f>
        <v>-236.60000000000002</v>
      </c>
      <c r="D95">
        <f>所有指标!V99</f>
        <v>106.11490000000001</v>
      </c>
      <c r="E95" s="17">
        <f>-所有指标!AG99/10000/所有指标!AH99</f>
        <v>3.8726227089051019E-2</v>
      </c>
      <c r="F95">
        <f>所有指标!AG99</f>
        <v>-2808</v>
      </c>
      <c r="G95">
        <f>所有指标!AH99</f>
        <v>7.2508999999999997</v>
      </c>
    </row>
    <row r="96" spans="1:7">
      <c r="A96" s="7">
        <f>所有指标!A100</f>
        <v>45396</v>
      </c>
      <c r="B96">
        <f>所有指标!U100</f>
        <v>7.2374999999999998</v>
      </c>
      <c r="C96">
        <f>(所有指标!B100-所有指标!E100)*100</f>
        <v>-221.63</v>
      </c>
      <c r="D96">
        <f>所有指标!V100</f>
        <v>106.0228</v>
      </c>
      <c r="E96" s="17">
        <f>-所有指标!AG100/10000/所有指标!AH100</f>
        <v>3.8432430201037523E-2</v>
      </c>
      <c r="F96">
        <f>所有指标!AG100</f>
        <v>-2793</v>
      </c>
      <c r="G96">
        <f>所有指标!AH100</f>
        <v>7.2672999999999996</v>
      </c>
    </row>
    <row r="97" spans="1:7">
      <c r="A97" s="7">
        <f>所有指标!A101</f>
        <v>45389</v>
      </c>
      <c r="B97">
        <f>所有指标!U101</f>
        <v>7.2355999999999998</v>
      </c>
      <c r="C97">
        <f>(所有指标!B101-所有指标!E101)*100</f>
        <v>-209.63</v>
      </c>
      <c r="D97">
        <f>所有指标!V101</f>
        <v>104.2968</v>
      </c>
      <c r="E97" s="17">
        <f>-所有指标!AG101/10000/所有指标!AH101</f>
        <v>3.7490341097251349E-2</v>
      </c>
      <c r="F97">
        <f>所有指标!AG101</f>
        <v>-2717</v>
      </c>
      <c r="G97">
        <f>所有指标!AH101</f>
        <v>7.2472000000000003</v>
      </c>
    </row>
    <row r="98" spans="1:7">
      <c r="A98" s="7">
        <f>所有指标!A102</f>
        <v>45382</v>
      </c>
      <c r="B98">
        <f>所有指标!U102</f>
        <v>7.2232000000000003</v>
      </c>
      <c r="C98">
        <f>(所有指标!B102-所有指标!E102)*100</f>
        <v>-190.99000000000004</v>
      </c>
      <c r="D98">
        <f>所有指标!V102</f>
        <v>104.50700000000001</v>
      </c>
      <c r="E98" s="17">
        <f>-所有指标!AG102/10000/所有指标!AH102</f>
        <v>3.6872201171202205E-2</v>
      </c>
      <c r="F98">
        <f>所有指标!AG102</f>
        <v>-2676</v>
      </c>
      <c r="G98">
        <f>所有指标!AH102</f>
        <v>7.2575000000000003</v>
      </c>
    </row>
    <row r="99" spans="1:7">
      <c r="A99" s="7">
        <f>所有指标!A103</f>
        <v>45375</v>
      </c>
      <c r="B99">
        <f>所有指标!U103</f>
        <v>7.2282999999999999</v>
      </c>
      <c r="C99">
        <f>(所有指标!B103-所有指标!E103)*100</f>
        <v>-191.48999999999998</v>
      </c>
      <c r="D99">
        <f>所有指标!V103</f>
        <v>104.4332</v>
      </c>
      <c r="E99" s="17">
        <f>-所有指标!AG103/10000/所有指标!AH103</f>
        <v>3.6213957835133724E-2</v>
      </c>
      <c r="F99">
        <f>所有指标!AG103</f>
        <v>-2635</v>
      </c>
      <c r="G99">
        <f>所有指标!AH103</f>
        <v>7.2762000000000002</v>
      </c>
    </row>
    <row r="100" spans="1:7">
      <c r="A100" s="7">
        <f>所有指标!A104</f>
        <v>45368</v>
      </c>
      <c r="B100">
        <f>所有指标!U104</f>
        <v>7.1965000000000003</v>
      </c>
      <c r="C100">
        <f>(所有指标!B104-所有指标!E104)*100</f>
        <v>-198.99999999999997</v>
      </c>
      <c r="D100">
        <f>所有指标!V104</f>
        <v>103.45310000000001</v>
      </c>
      <c r="E100" s="17">
        <f>-所有指标!AG104/10000/所有指标!AH104</f>
        <v>3.6772868561278864E-2</v>
      </c>
      <c r="F100">
        <f>所有指标!AG104</f>
        <v>-2650</v>
      </c>
      <c r="G100">
        <f>所有指标!AH104</f>
        <v>7.2064000000000004</v>
      </c>
    </row>
    <row r="101" spans="1:7">
      <c r="A101" s="7">
        <f>所有指标!A105</f>
        <v>45361</v>
      </c>
      <c r="B101">
        <f>所有指标!U105</f>
        <v>7.1917999999999997</v>
      </c>
      <c r="C101">
        <f>(所有指标!B105-所有指标!E105)*100</f>
        <v>-180.74999999999997</v>
      </c>
      <c r="D101">
        <f>所有指标!V105</f>
        <v>102.742</v>
      </c>
      <c r="E101" s="17">
        <f>-所有指标!AG105/10000/所有指标!AH105</f>
        <v>3.5898789023441839E-2</v>
      </c>
      <c r="F101">
        <f>所有指标!AG105</f>
        <v>-2585</v>
      </c>
      <c r="G101">
        <f>所有指标!AH105</f>
        <v>7.2008000000000001</v>
      </c>
    </row>
    <row r="102" spans="1:7">
      <c r="A102" s="7">
        <f>所有指标!A106</f>
        <v>45354</v>
      </c>
      <c r="B102">
        <f>所有指标!U106</f>
        <v>7.1985000000000001</v>
      </c>
      <c r="C102">
        <f>(所有指标!B106-所有指标!E106)*100</f>
        <v>-182.25000000000003</v>
      </c>
      <c r="D102">
        <f>所有指标!V106</f>
        <v>103.8849</v>
      </c>
      <c r="E102" s="17">
        <f>-所有指标!AG106/10000/所有指标!AH106</f>
        <v>3.6865464632454922E-2</v>
      </c>
      <c r="F102">
        <f>所有指标!AG106</f>
        <v>-2658</v>
      </c>
      <c r="G102">
        <f>所有指标!AH106</f>
        <v>7.21</v>
      </c>
    </row>
    <row r="103" spans="1:7">
      <c r="A103" s="7">
        <f>所有指标!A107</f>
        <v>45347</v>
      </c>
      <c r="B103">
        <f>所有指标!U107</f>
        <v>7.1984000000000004</v>
      </c>
      <c r="C103">
        <f>(所有指标!B107-所有指标!E107)*100</f>
        <v>-185.90999999999997</v>
      </c>
      <c r="D103">
        <f>所有指标!V107</f>
        <v>103.9738</v>
      </c>
      <c r="E103" s="17">
        <f>-所有指标!AG107/10000/所有指标!AH107</f>
        <v>3.7192777939686637E-2</v>
      </c>
      <c r="F103">
        <f>所有指标!AG107</f>
        <v>-2680</v>
      </c>
      <c r="G103">
        <f>所有指标!AH107</f>
        <v>7.2057000000000002</v>
      </c>
    </row>
    <row r="104" spans="1:7">
      <c r="A104" s="7">
        <f>所有指标!A108</f>
        <v>45340</v>
      </c>
      <c r="B104">
        <f>所有指标!U108</f>
        <v>7.1927000000000003</v>
      </c>
      <c r="C104">
        <f>(所有指标!B108-所有指标!E108)*100</f>
        <v>-186.07</v>
      </c>
      <c r="D104">
        <f>所有指标!V108</f>
        <v>104.2766</v>
      </c>
      <c r="E104" s="17">
        <f>-所有指标!AG108/10000/所有指标!AH108</f>
        <v>3.5007694760630557E-2</v>
      </c>
      <c r="F104">
        <f>所有指标!AG108</f>
        <v>-2525</v>
      </c>
      <c r="G104">
        <f>所有指标!AH108</f>
        <v>7.2126999999999999</v>
      </c>
    </row>
    <row r="105" spans="1:7">
      <c r="A105" s="7">
        <f>所有指标!A109</f>
        <v>45333</v>
      </c>
      <c r="B105">
        <f>所有指标!U109</f>
        <v>7.1927000000000003</v>
      </c>
      <c r="C105">
        <f>(所有指标!B109-所有指标!E109)*100</f>
        <v>-173.98</v>
      </c>
      <c r="D105">
        <f>所有指标!V109</f>
        <v>104.0736</v>
      </c>
      <c r="E105" s="17">
        <f>-所有指标!AG109/10000/所有指标!AH109</f>
        <v>3.4978112705712862E-2</v>
      </c>
      <c r="F105">
        <f>所有指标!AG109</f>
        <v>-2525</v>
      </c>
      <c r="G105">
        <f>所有指标!AH109</f>
        <v>7.2187999999999999</v>
      </c>
    </row>
    <row r="106" spans="1:7">
      <c r="A106" s="7">
        <f>所有指标!A110</f>
        <v>45326</v>
      </c>
      <c r="B106">
        <f>所有指标!U110</f>
        <v>7.1792999999999996</v>
      </c>
      <c r="C106">
        <f>(所有指标!B110-所有指标!E110)*100</f>
        <v>-162.47000000000003</v>
      </c>
      <c r="D106">
        <f>所有指标!V110</f>
        <v>103.96550000000001</v>
      </c>
      <c r="E106" s="17">
        <f>-所有指标!AG110/10000/所有指标!AH110</f>
        <v>3.4229015673286123E-2</v>
      </c>
      <c r="F106">
        <f>所有指标!AG110</f>
        <v>-2470</v>
      </c>
      <c r="G106">
        <f>所有指标!AH110</f>
        <v>7.2161</v>
      </c>
    </row>
    <row r="107" spans="1:7">
      <c r="A107" s="7">
        <f>所有指标!A111</f>
        <v>45319</v>
      </c>
      <c r="B107">
        <f>所有指标!U111</f>
        <v>7.1807999999999996</v>
      </c>
      <c r="C107">
        <f>(所有指标!B111-所有指标!E111)*100</f>
        <v>-165.06000000000003</v>
      </c>
      <c r="D107">
        <f>所有指标!V111</f>
        <v>103.4744</v>
      </c>
      <c r="E107" s="17">
        <f>-所有指标!AG111/10000/所有指标!AH111</f>
        <v>3.4026570216317727E-2</v>
      </c>
      <c r="F107">
        <f>所有指标!AG111</f>
        <v>-2446</v>
      </c>
      <c r="G107">
        <f>所有指标!AH111</f>
        <v>7.1885000000000003</v>
      </c>
    </row>
    <row r="108" spans="1:7">
      <c r="A108" s="7">
        <f>所有指标!A112</f>
        <v>45312</v>
      </c>
      <c r="B108">
        <f>所有指标!U112</f>
        <v>7.1938000000000004</v>
      </c>
      <c r="C108">
        <f>(所有指标!B112-所有指标!E112)*100</f>
        <v>-164.73000000000005</v>
      </c>
      <c r="D108">
        <f>所有指标!V112</f>
        <v>103.2317</v>
      </c>
      <c r="E108" s="17">
        <f>-所有指标!AG112/10000/所有指标!AH112</f>
        <v>3.4219476643298399E-2</v>
      </c>
      <c r="F108">
        <f>所有指标!AG112</f>
        <v>-2465</v>
      </c>
      <c r="G108">
        <f>所有指标!AH112</f>
        <v>7.2035</v>
      </c>
    </row>
    <row r="109" spans="1:7">
      <c r="A109" s="7">
        <f>所有指标!A113</f>
        <v>45305</v>
      </c>
      <c r="B109">
        <f>所有指标!U113</f>
        <v>7.1622000000000003</v>
      </c>
      <c r="C109">
        <f>(所有指标!B113-所有指标!E113)*100</f>
        <v>-144.28</v>
      </c>
      <c r="D109">
        <f>所有指标!V113</f>
        <v>102.44029999999999</v>
      </c>
      <c r="E109" s="17">
        <f>-所有指标!AG113/10000/所有指标!AH113</f>
        <v>3.3547992266714885E-2</v>
      </c>
      <c r="F109">
        <f>所有指标!AG113</f>
        <v>-2412</v>
      </c>
      <c r="G109">
        <f>所有指标!AH113</f>
        <v>7.1897000000000002</v>
      </c>
    </row>
    <row r="110" spans="1:7">
      <c r="A110" s="7">
        <f>所有指标!A114</f>
        <v>45298</v>
      </c>
      <c r="B110">
        <f>所有指标!U114</f>
        <v>7.1566000000000001</v>
      </c>
      <c r="C110">
        <f>(所有指标!B114-所有指标!E114)*100</f>
        <v>-153.24999999999997</v>
      </c>
      <c r="D110">
        <f>所有指标!V114</f>
        <v>102.4395</v>
      </c>
      <c r="E110" s="17">
        <f>-所有指标!AG114/10000/所有指标!AH114</f>
        <v>3.5237311079168818E-2</v>
      </c>
      <c r="F110">
        <f>所有指标!AG114</f>
        <v>-2525</v>
      </c>
      <c r="G110">
        <f>所有指标!AH114</f>
        <v>7.1657000000000002</v>
      </c>
    </row>
    <row r="111" spans="1:7">
      <c r="A111" s="7">
        <f>所有指标!A115</f>
        <v>45291</v>
      </c>
      <c r="B111">
        <f>所有指标!U115</f>
        <v>7.0919999999999996</v>
      </c>
      <c r="C111">
        <f>(所有指标!B115-所有指标!E115)*100</f>
        <v>-132.47</v>
      </c>
      <c r="D111">
        <f>所有指标!V115</f>
        <v>101.37779999999999</v>
      </c>
      <c r="E111" s="17">
        <f>-所有指标!AG115/10000/所有指标!AH115</f>
        <v>3.3895688300022458E-2</v>
      </c>
      <c r="F111">
        <f>所有指标!AG115</f>
        <v>-2415</v>
      </c>
      <c r="G111">
        <f>所有指标!AH115</f>
        <v>7.1247999999999996</v>
      </c>
    </row>
    <row r="112" spans="1:7">
      <c r="A112" s="7">
        <f>所有指标!A116</f>
        <v>45284</v>
      </c>
      <c r="B112">
        <f>所有指标!U116</f>
        <v>7.1393000000000004</v>
      </c>
      <c r="C112">
        <f>(所有指标!B116-所有指标!E116)*100</f>
        <v>-131.22999999999999</v>
      </c>
      <c r="D112">
        <f>所有指标!V116</f>
        <v>101.70310000000001</v>
      </c>
      <c r="E112" s="17">
        <f>-所有指标!AG116/10000/所有指标!AH116</f>
        <v>3.425040541296203E-2</v>
      </c>
      <c r="F112">
        <f>所有指标!AG116</f>
        <v>-2450</v>
      </c>
      <c r="G112">
        <f>所有指标!AH116</f>
        <v>7.1532</v>
      </c>
    </row>
    <row r="113" spans="1:7">
      <c r="A113" s="7">
        <f>所有指标!A117</f>
        <v>45277</v>
      </c>
      <c r="B113">
        <f>所有指标!U117</f>
        <v>7.0987</v>
      </c>
      <c r="C113">
        <f>(所有指标!B117-所有指标!E117)*100</f>
        <v>-128.73000000000002</v>
      </c>
      <c r="D113">
        <f>所有指标!V117</f>
        <v>102.5936</v>
      </c>
      <c r="E113" s="17">
        <f>-所有指标!AG117/10000/所有指标!AH117</f>
        <v>3.3490735289995237E-2</v>
      </c>
      <c r="F113">
        <f>所有指标!AG117</f>
        <v>-2389.4299999999998</v>
      </c>
      <c r="G113">
        <f>所有指标!AH117</f>
        <v>7.1345999999999998</v>
      </c>
    </row>
    <row r="114" spans="1:7">
      <c r="A114" s="7">
        <f>所有指标!A118</f>
        <v>45270</v>
      </c>
      <c r="B114">
        <f>所有指标!U118</f>
        <v>7.1607000000000003</v>
      </c>
      <c r="C114">
        <f>(所有指标!B118-所有指标!E118)*100</f>
        <v>-156.64000000000001</v>
      </c>
      <c r="D114">
        <f>所有指标!V118</f>
        <v>103.998</v>
      </c>
      <c r="E114" s="17">
        <f>-所有指标!AG118/10000/所有指标!AH118</f>
        <v>3.4236089848860188E-2</v>
      </c>
      <c r="F114">
        <f>所有指标!AG118</f>
        <v>-2460</v>
      </c>
      <c r="G114">
        <f>所有指标!AH118</f>
        <v>7.1853999999999996</v>
      </c>
    </row>
    <row r="115" spans="1:7">
      <c r="A115" s="7">
        <f>所有指标!A119</f>
        <v>45263</v>
      </c>
      <c r="B115">
        <f>所有指标!U119</f>
        <v>7.14</v>
      </c>
      <c r="C115">
        <f>(所有指标!B119-所有指标!E119)*100</f>
        <v>-155.74999999999997</v>
      </c>
      <c r="D115">
        <f>所有指标!V119</f>
        <v>103.1952</v>
      </c>
      <c r="E115" s="17">
        <f>-所有指标!AG119/10000/所有指标!AH119</f>
        <v>3.519090398652442E-2</v>
      </c>
      <c r="F115">
        <f>所有指标!AG119</f>
        <v>-2507</v>
      </c>
      <c r="G115">
        <f>所有指标!AH119</f>
        <v>7.1239999999999997</v>
      </c>
    </row>
    <row r="116" spans="1:7">
      <c r="A116" s="7">
        <f>所有指标!A120</f>
        <v>45256</v>
      </c>
      <c r="B116">
        <f>所有指标!U120</f>
        <v>7.1528999999999998</v>
      </c>
      <c r="C116">
        <f>(所有指标!B120-所有指标!E120)*100</f>
        <v>-176.47</v>
      </c>
      <c r="D116">
        <f>所有指标!V120</f>
        <v>103.4359</v>
      </c>
      <c r="E116" s="17">
        <f>-所有指标!AG120/10000/所有指标!AH120</f>
        <v>3.6092497516892127E-2</v>
      </c>
      <c r="F116">
        <f>所有指标!AG120</f>
        <v>-2580</v>
      </c>
      <c r="G116">
        <f>所有指标!AH120</f>
        <v>7.1482999999999999</v>
      </c>
    </row>
    <row r="117" spans="1:7">
      <c r="A117" s="7">
        <f>所有指标!A121</f>
        <v>45249</v>
      </c>
      <c r="B117">
        <f>所有指标!U121</f>
        <v>7.2465000000000002</v>
      </c>
      <c r="C117">
        <f>(所有指标!B121-所有指标!E121)*100</f>
        <v>-178.76000000000002</v>
      </c>
      <c r="D117">
        <f>所有指标!V121</f>
        <v>103.8218</v>
      </c>
      <c r="E117" s="17">
        <f>-所有指标!AG121/10000/所有指标!AH121</f>
        <v>3.4983928175570826E-2</v>
      </c>
      <c r="F117">
        <f>所有指标!AG121</f>
        <v>-2525</v>
      </c>
      <c r="G117">
        <f>所有指标!AH121</f>
        <v>7.2176</v>
      </c>
    </row>
    <row r="118" spans="1:7">
      <c r="A118" s="7">
        <f>所有指标!A122</f>
        <v>45242</v>
      </c>
      <c r="B118">
        <f>所有指标!U122</f>
        <v>7.2906000000000004</v>
      </c>
      <c r="C118">
        <f>(所有指标!B122-所有指标!E122)*100</f>
        <v>-196.56000000000003</v>
      </c>
      <c r="D118">
        <f>所有指标!V122</f>
        <v>105.81019999999999</v>
      </c>
      <c r="E118" s="17">
        <f>-所有指标!AG122/10000/所有指标!AH122</f>
        <v>3.6539303700459824E-2</v>
      </c>
      <c r="F118">
        <f>所有指标!AG122</f>
        <v>-2670</v>
      </c>
      <c r="G118">
        <f>所有指标!AH122</f>
        <v>7.3071999999999999</v>
      </c>
    </row>
    <row r="119" spans="1:7">
      <c r="A119" s="7">
        <f>所有指标!A123</f>
        <v>45235</v>
      </c>
      <c r="B119">
        <f>所有指标!U123</f>
        <v>7.3132999999999999</v>
      </c>
      <c r="C119">
        <f>(所有指标!B123-所有指标!E123)*100</f>
        <v>-190.87</v>
      </c>
      <c r="D119">
        <f>所有指标!V123</f>
        <v>105.05410000000001</v>
      </c>
      <c r="E119" s="17">
        <f>-所有指标!AG123/10000/所有指标!AH123</f>
        <v>3.659289546259073E-2</v>
      </c>
      <c r="F119">
        <f>所有指标!AG123</f>
        <v>-2667</v>
      </c>
      <c r="G119">
        <f>所有指标!AH123</f>
        <v>7.2882999999999996</v>
      </c>
    </row>
    <row r="120" spans="1:7">
      <c r="A120" s="7">
        <f>所有指标!A124</f>
        <v>45228</v>
      </c>
      <c r="B120">
        <f>所有指标!U124</f>
        <v>7.3166000000000002</v>
      </c>
      <c r="C120">
        <f>(所有指标!B124-所有指标!E124)*100</f>
        <v>-212.67000000000002</v>
      </c>
      <c r="D120">
        <f>所有指标!V124</f>
        <v>106.57899999999999</v>
      </c>
      <c r="E120" s="17">
        <f>-所有指标!AG124/10000/所有指标!AH124</f>
        <v>3.7116326001881722E-2</v>
      </c>
      <c r="F120">
        <f>所有指标!AG124</f>
        <v>-2722</v>
      </c>
      <c r="G120">
        <f>所有指标!AH124</f>
        <v>7.3337000000000003</v>
      </c>
    </row>
    <row r="121" spans="1:7">
      <c r="A121" s="7">
        <f>所有指标!A125</f>
        <v>45221</v>
      </c>
      <c r="B121">
        <f>所有指标!U125</f>
        <v>7.3150000000000004</v>
      </c>
      <c r="C121">
        <f>(所有指标!B125-所有指标!E125)*100</f>
        <v>-222.47999999999996</v>
      </c>
      <c r="D121">
        <f>所有指标!V125</f>
        <v>106.1554</v>
      </c>
      <c r="E121" s="17">
        <f>-所有指标!AG125/10000/所有指标!AH125</f>
        <v>3.605054171328767E-2</v>
      </c>
      <c r="F121">
        <f>所有指标!AG125</f>
        <v>-2642</v>
      </c>
      <c r="G121">
        <f>所有指标!AH125</f>
        <v>7.3285999999999998</v>
      </c>
    </row>
    <row r="122" spans="1:7">
      <c r="A122" s="7">
        <f>所有指标!A126</f>
        <v>45214</v>
      </c>
      <c r="B122">
        <f>所有指标!U126</f>
        <v>7.3040000000000003</v>
      </c>
      <c r="C122">
        <f>(所有指标!B126-所有指标!E126)*100</f>
        <v>-195.98</v>
      </c>
      <c r="D122">
        <f>所有指标!V126</f>
        <v>106.6767</v>
      </c>
      <c r="E122" s="17">
        <f>-所有指标!AG126/10000/所有指标!AH126</f>
        <v>3.6196310629162162E-2</v>
      </c>
      <c r="F122">
        <f>所有指标!AG126</f>
        <v>-2647</v>
      </c>
      <c r="G122">
        <f>所有指标!AH126</f>
        <v>7.3129</v>
      </c>
    </row>
    <row r="123" spans="1:7">
      <c r="A123" s="7">
        <f>所有指标!A127</f>
        <v>45207</v>
      </c>
      <c r="B123">
        <f>所有指标!U127</f>
        <v>7.3002000000000002</v>
      </c>
      <c r="C123">
        <f>(所有指标!B127-所有指标!E127)*100</f>
        <v>-211.74000000000004</v>
      </c>
      <c r="D123">
        <f>所有指标!V127</f>
        <v>106.1071</v>
      </c>
      <c r="E123" s="17">
        <f>-所有指标!AG127/10000/所有指标!AH127</f>
        <v>3.7350699812562428E-2</v>
      </c>
      <c r="F123">
        <f>所有指标!AG127</f>
        <v>-2730</v>
      </c>
      <c r="G123">
        <f>所有指标!AH127</f>
        <v>7.3090999999999999</v>
      </c>
    </row>
    <row r="124" spans="1:7">
      <c r="A124" s="7">
        <f>所有指标!A128</f>
        <v>45200</v>
      </c>
      <c r="B124">
        <f>所有指标!U128</f>
        <v>7.3002000000000002</v>
      </c>
      <c r="C124">
        <f>(所有指标!B128-所有指标!E128)*100</f>
        <v>-191.48999999999998</v>
      </c>
      <c r="D124">
        <f>所有指标!V128</f>
        <v>106.1919</v>
      </c>
      <c r="E124" s="17">
        <f>-所有指标!AG128/10000/所有指标!AH128</f>
        <v>3.7419301780500847E-2</v>
      </c>
      <c r="F124">
        <f>所有指标!AG128</f>
        <v>-2730</v>
      </c>
      <c r="G124">
        <f>所有指标!AH128</f>
        <v>7.2957000000000001</v>
      </c>
    </row>
    <row r="125" spans="1:7">
      <c r="A125" s="7">
        <f>所有指标!A129</f>
        <v>45193</v>
      </c>
      <c r="B125">
        <f>所有指标!U129</f>
        <v>7.3002000000000002</v>
      </c>
      <c r="C125">
        <f>(所有指标!B129-所有指标!E129)*100</f>
        <v>-176.24000000000004</v>
      </c>
      <c r="D125">
        <f>所有指标!V129</f>
        <v>105.60980000000001</v>
      </c>
      <c r="E125" s="17">
        <f>-所有指标!AG129/10000/所有指标!AH129</f>
        <v>3.6102319591160073E-2</v>
      </c>
      <c r="F125">
        <f>所有指标!AG129</f>
        <v>-2635</v>
      </c>
      <c r="G125">
        <f>所有指标!AH129</f>
        <v>7.2987000000000002</v>
      </c>
    </row>
    <row r="126" spans="1:7">
      <c r="A126" s="7">
        <f>所有指标!A130</f>
        <v>45186</v>
      </c>
      <c r="B126">
        <f>所有指标!U130</f>
        <v>7.2690999999999999</v>
      </c>
      <c r="C126">
        <f>(所有指标!B130-所有指标!E130)*100</f>
        <v>-169</v>
      </c>
      <c r="D126">
        <f>所有指标!V130</f>
        <v>105.3359</v>
      </c>
      <c r="E126" s="17">
        <f>-所有指标!AG130/10000/所有指标!AH130</f>
        <v>3.5133984369634788E-2</v>
      </c>
      <c r="F126">
        <f>所有指标!AG130</f>
        <v>-2558</v>
      </c>
      <c r="G126">
        <f>所有指标!AH130</f>
        <v>7.2807000000000004</v>
      </c>
    </row>
    <row r="127" spans="1:7">
      <c r="A127" s="7">
        <f>所有指标!A131</f>
        <v>45179</v>
      </c>
      <c r="B127">
        <f>所有指标!U131</f>
        <v>7.3414999999999999</v>
      </c>
      <c r="C127">
        <f>(所有指标!B131-所有指标!E131)*100</f>
        <v>-162.24999999999997</v>
      </c>
      <c r="D127">
        <f>所有指标!V131</f>
        <v>105.065</v>
      </c>
      <c r="E127" s="17">
        <f>-所有指标!AG131/10000/所有指标!AH131</f>
        <v>3.5302104548540394E-2</v>
      </c>
      <c r="F127">
        <f>所有指标!AG131</f>
        <v>-2600</v>
      </c>
      <c r="G127">
        <f>所有指标!AH131</f>
        <v>7.3650000000000002</v>
      </c>
    </row>
    <row r="128" spans="1:7">
      <c r="A128" s="7">
        <f>所有指标!A132</f>
        <v>45172</v>
      </c>
      <c r="B128">
        <f>所有指标!U132</f>
        <v>7.2633000000000001</v>
      </c>
      <c r="C128">
        <f>(所有指标!B132-所有指标!E132)*100</f>
        <v>-159.49999999999997</v>
      </c>
      <c r="D128">
        <f>所有指标!V132</f>
        <v>104.27549999999999</v>
      </c>
      <c r="E128" s="17">
        <f>-所有指标!AG132/10000/所有指标!AH132</f>
        <v>3.498975339375851E-2</v>
      </c>
      <c r="F128">
        <f>所有指标!AG132</f>
        <v>-2544</v>
      </c>
      <c r="G128">
        <f>所有指标!AH132</f>
        <v>7.2706999999999997</v>
      </c>
    </row>
    <row r="129" spans="1:7">
      <c r="A129" s="7">
        <f>所有指标!A133</f>
        <v>45165</v>
      </c>
      <c r="B129">
        <f>所有指标!U133</f>
        <v>7.2884000000000002</v>
      </c>
      <c r="C129">
        <f>(所有指标!B133-所有指标!E133)*100</f>
        <v>-167.98000000000002</v>
      </c>
      <c r="D129">
        <f>所有指标!V133</f>
        <v>104.1939</v>
      </c>
      <c r="E129" s="17">
        <f>-所有指标!AG133/10000/所有指标!AH133</f>
        <v>3.5572797433823633E-2</v>
      </c>
      <c r="F129">
        <f>所有指标!AG133</f>
        <v>-2595</v>
      </c>
      <c r="G129">
        <f>所有指标!AH133</f>
        <v>7.2949000000000002</v>
      </c>
    </row>
    <row r="130" spans="1:7">
      <c r="A130" s="7">
        <f>所有指标!A134</f>
        <v>45158</v>
      </c>
      <c r="B130">
        <f>所有指标!U134</f>
        <v>7.2896000000000001</v>
      </c>
      <c r="C130">
        <f>(所有指标!B134-所有指标!E134)*100</f>
        <v>-169.60999999999999</v>
      </c>
      <c r="D130">
        <f>所有指标!V134</f>
        <v>103.44329999999999</v>
      </c>
      <c r="E130" s="17">
        <f>-所有指标!AG134/10000/所有指标!AH134</f>
        <v>3.4908384306963886E-2</v>
      </c>
      <c r="F130">
        <f>所有指标!AG134</f>
        <v>-2551</v>
      </c>
      <c r="G130">
        <f>所有指标!AH134</f>
        <v>7.3076999999999996</v>
      </c>
    </row>
    <row r="131" spans="1:7">
      <c r="A131" s="7">
        <f>所有指标!A135</f>
        <v>45151</v>
      </c>
      <c r="B131">
        <f>所有指标!U135</f>
        <v>7.234</v>
      </c>
      <c r="C131">
        <f>(所有指标!B135-所有指标!E135)*100</f>
        <v>-152.19</v>
      </c>
      <c r="D131">
        <f>所有指标!V135</f>
        <v>102.877</v>
      </c>
      <c r="E131" s="17">
        <f>-所有指标!AG135/10000/所有指标!AH135</f>
        <v>3.4017821482185399E-2</v>
      </c>
      <c r="F131">
        <f>所有指标!AG135</f>
        <v>-2470</v>
      </c>
      <c r="G131">
        <f>所有指标!AH135</f>
        <v>7.2609000000000004</v>
      </c>
    </row>
    <row r="132" spans="1:7">
      <c r="A132" s="7">
        <f>所有指标!A136</f>
        <v>45144</v>
      </c>
      <c r="B132">
        <f>所有指标!U136</f>
        <v>7.1802000000000001</v>
      </c>
      <c r="C132">
        <f>(所有指标!B136-所有指标!E136)*100</f>
        <v>-140.30999999999997</v>
      </c>
      <c r="D132">
        <f>所有指标!V136</f>
        <v>102.00369999999999</v>
      </c>
      <c r="E132" s="17">
        <f>-所有指标!AG136/10000/所有指标!AH136</f>
        <v>3.4764826175869123E-2</v>
      </c>
      <c r="F132">
        <f>所有指标!AG136</f>
        <v>-2499</v>
      </c>
      <c r="G132">
        <f>所有指标!AH136</f>
        <v>7.1882999999999999</v>
      </c>
    </row>
    <row r="133" spans="1:7">
      <c r="A133" s="7">
        <f>所有指标!A137</f>
        <v>45137</v>
      </c>
      <c r="B133">
        <f>所有指标!U137</f>
        <v>7.1645000000000003</v>
      </c>
      <c r="C133">
        <f>(所有指标!B137-所有指标!E137)*100</f>
        <v>-130.66999999999999</v>
      </c>
      <c r="D133">
        <f>所有指标!V137</f>
        <v>101.71299999999999</v>
      </c>
      <c r="E133" s="17">
        <f>-所有指标!AG137/10000/所有指标!AH137</f>
        <v>3.4130623200156571E-2</v>
      </c>
      <c r="F133">
        <f>所有指标!AG137</f>
        <v>-2441.5</v>
      </c>
      <c r="G133">
        <f>所有指标!AH137</f>
        <v>7.1534000000000004</v>
      </c>
    </row>
    <row r="134" spans="1:7">
      <c r="A134" s="7">
        <f>所有指标!A138</f>
        <v>45130</v>
      </c>
      <c r="B134">
        <f>所有指标!U138</f>
        <v>7.1790000000000003</v>
      </c>
      <c r="C134">
        <f>(所有指标!B138-所有指标!E138)*100</f>
        <v>-123.21</v>
      </c>
      <c r="D134">
        <f>所有指标!V138</f>
        <v>101.0857</v>
      </c>
      <c r="E134" s="17">
        <f>-所有指标!AG138/10000/所有指标!AH138</f>
        <v>3.4286111690659989E-2</v>
      </c>
      <c r="F134">
        <f>所有指标!AG138</f>
        <v>-2465</v>
      </c>
      <c r="G134">
        <f>所有指标!AH138</f>
        <v>7.1894999999999998</v>
      </c>
    </row>
    <row r="135" spans="1:7">
      <c r="A135" s="7">
        <f>所有指标!A139</f>
        <v>45123</v>
      </c>
      <c r="B135">
        <f>所有指标!U139</f>
        <v>7.1325000000000003</v>
      </c>
      <c r="C135">
        <f>(所有指标!B139-所有指标!E139)*100</f>
        <v>-118.56</v>
      </c>
      <c r="D135">
        <f>所有指标!V139</f>
        <v>99.963300000000004</v>
      </c>
      <c r="E135" s="17">
        <f>-所有指标!AG139/10000/所有指标!AH139</f>
        <v>3.3180122661674513E-2</v>
      </c>
      <c r="F135">
        <f>所有指标!AG139</f>
        <v>-2375</v>
      </c>
      <c r="G135">
        <f>所有指标!AH139</f>
        <v>7.1578999999999997</v>
      </c>
    </row>
    <row r="136" spans="1:7">
      <c r="A136" s="7">
        <f>所有指标!A140</f>
        <v>45116</v>
      </c>
      <c r="B136">
        <f>所有指标!U140</f>
        <v>7.2336</v>
      </c>
      <c r="C136">
        <f>(所有指标!B140-所有指标!E140)*100</f>
        <v>-141.96999999999997</v>
      </c>
      <c r="D136">
        <f>所有指标!V140</f>
        <v>102.22539999999999</v>
      </c>
      <c r="E136" s="17">
        <f>-所有指标!AG140/10000/所有指标!AH140</f>
        <v>3.6089102750238522E-2</v>
      </c>
      <c r="F136">
        <f>所有指标!AG140</f>
        <v>-2610</v>
      </c>
      <c r="G136">
        <f>所有指标!AH140</f>
        <v>7.2321</v>
      </c>
    </row>
    <row r="137" spans="1:7">
      <c r="A137" s="7">
        <f>所有指标!A141</f>
        <v>45109</v>
      </c>
      <c r="B137">
        <f>所有指标!U141</f>
        <v>7.2619999999999996</v>
      </c>
      <c r="C137">
        <f>(所有指标!B141-所有指标!E141)*100</f>
        <v>-117.49000000000001</v>
      </c>
      <c r="D137">
        <f>所有指标!V141</f>
        <v>103.3788</v>
      </c>
      <c r="E137" s="17">
        <f>-所有指标!AG141/10000/所有指标!AH141</f>
        <v>3.6600299957345518E-2</v>
      </c>
      <c r="F137">
        <f>所有指标!AG141</f>
        <v>-2660</v>
      </c>
      <c r="G137">
        <f>所有指标!AH141</f>
        <v>7.2676999999999996</v>
      </c>
    </row>
    <row r="138" spans="1:7">
      <c r="A138" s="7">
        <f>所有指标!A142</f>
        <v>45102</v>
      </c>
      <c r="B138">
        <f>所有指标!U142</f>
        <v>7.1938000000000004</v>
      </c>
      <c r="C138">
        <f>(所有指标!B142-所有指标!E142)*100</f>
        <v>-108.24000000000002</v>
      </c>
      <c r="D138">
        <f>所有指标!V142</f>
        <v>102.8817</v>
      </c>
      <c r="E138" s="17">
        <f>-所有指标!AG142/10000/所有指标!AH142</f>
        <v>3.4392450843183174E-2</v>
      </c>
      <c r="F138">
        <f>所有指标!AG142</f>
        <v>-2482</v>
      </c>
      <c r="G138">
        <f>所有指标!AH142</f>
        <v>7.2167000000000003</v>
      </c>
    </row>
    <row r="139" spans="1:7">
      <c r="A139" s="7">
        <f>所有指标!A143</f>
        <v>45095</v>
      </c>
      <c r="B139">
        <f>所有指标!U143</f>
        <v>7.1167999999999996</v>
      </c>
      <c r="C139">
        <f>(所有指标!B143-所有指标!E143)*100</f>
        <v>-110.74000000000001</v>
      </c>
      <c r="D139">
        <f>所有指标!V143</f>
        <v>102.31529999999999</v>
      </c>
      <c r="E139" s="17">
        <f>-所有指标!AG143/10000/所有指标!AH143</f>
        <v>3.357088746107012E-2</v>
      </c>
      <c r="F139">
        <f>所有指标!AG143</f>
        <v>-2393</v>
      </c>
      <c r="G139">
        <f>所有指标!AH143</f>
        <v>7.1281999999999996</v>
      </c>
    </row>
    <row r="140" spans="1:7">
      <c r="A140" s="7">
        <f>所有指标!A144</f>
        <v>45088</v>
      </c>
      <c r="B140">
        <f>所有指标!U144</f>
        <v>7.1241000000000003</v>
      </c>
      <c r="C140">
        <f>(所有指标!B144-所有指标!E144)*100</f>
        <v>-107.96999999999998</v>
      </c>
      <c r="D140">
        <f>所有指标!V144</f>
        <v>103.5562</v>
      </c>
      <c r="E140" s="17">
        <f>-所有指标!AG144/10000/所有指标!AH144</f>
        <v>3.3733185896448914E-2</v>
      </c>
      <c r="F140">
        <f>所有指标!AG144</f>
        <v>-2410</v>
      </c>
      <c r="G140">
        <f>所有指标!AH144</f>
        <v>7.1443000000000003</v>
      </c>
    </row>
    <row r="141" spans="1:7">
      <c r="A141" s="7">
        <f>所有指标!A145</f>
        <v>45081</v>
      </c>
      <c r="B141">
        <f>所有指标!U145</f>
        <v>7.0750000000000002</v>
      </c>
      <c r="C141">
        <f>(所有指标!B145-所有指标!E145)*100</f>
        <v>-99.49</v>
      </c>
      <c r="D141">
        <f>所有指标!V145</f>
        <v>104.04600000000001</v>
      </c>
      <c r="E141" s="17">
        <f>-所有指标!AG145/10000/所有指标!AH145</f>
        <v>3.1813003670731199E-2</v>
      </c>
      <c r="F141">
        <f>所有指标!AG145</f>
        <v>-2262</v>
      </c>
      <c r="G141">
        <f>所有指标!AH145</f>
        <v>7.1102999999999996</v>
      </c>
    </row>
    <row r="142" spans="1:7">
      <c r="A142" s="7">
        <f>所有指标!A146</f>
        <v>45074</v>
      </c>
      <c r="B142">
        <f>所有指标!U146</f>
        <v>7.0547000000000004</v>
      </c>
      <c r="C142">
        <f>(所有指标!B146-所有指标!E146)*100</f>
        <v>-107.94999999999999</v>
      </c>
      <c r="D142">
        <f>所有指标!V146</f>
        <v>104.21339999999999</v>
      </c>
      <c r="E142" s="17">
        <f>-所有指标!AG146/10000/所有指标!AH146</f>
        <v>3.47074956880708E-2</v>
      </c>
      <c r="F142">
        <f>所有指标!AG146</f>
        <v>-2455</v>
      </c>
      <c r="G142">
        <f>所有指标!AH146</f>
        <v>7.0734000000000004</v>
      </c>
    </row>
    <row r="143" spans="1:7">
      <c r="A143" s="7">
        <f>所有指标!A147</f>
        <v>45067</v>
      </c>
      <c r="B143">
        <f>所有指标!U147</f>
        <v>7.0235000000000003</v>
      </c>
      <c r="C143">
        <f>(所有指标!B147-所有指标!E147)*100</f>
        <v>-98.490000000000009</v>
      </c>
      <c r="D143">
        <f>所有指标!V147</f>
        <v>103.1921</v>
      </c>
      <c r="E143" s="17">
        <f>-所有指标!AG147/10000/所有指标!AH147</f>
        <v>3.0466102901398021E-2</v>
      </c>
      <c r="F143">
        <f>所有指标!AG147</f>
        <v>-2140</v>
      </c>
      <c r="G143">
        <f>所有指标!AH147</f>
        <v>7.0242000000000004</v>
      </c>
    </row>
    <row r="144" spans="1:7">
      <c r="A144" s="7">
        <f>所有指标!A148</f>
        <v>45060</v>
      </c>
      <c r="B144">
        <f>所有指标!U148</f>
        <v>6.9505999999999997</v>
      </c>
      <c r="C144">
        <f>(所有指标!B148-所有指标!E148)*100</f>
        <v>-75.42</v>
      </c>
      <c r="D144">
        <f>所有指标!V148</f>
        <v>102.70399999999999</v>
      </c>
      <c r="E144" s="17">
        <f>-所有指标!AG148/10000/所有指标!AH148</f>
        <v>2.7184048199684407E-2</v>
      </c>
      <c r="F144">
        <f>所有指标!AG148</f>
        <v>-1895</v>
      </c>
      <c r="G144">
        <f>所有指标!AH148</f>
        <v>6.9710000000000001</v>
      </c>
    </row>
    <row r="145" spans="1:7">
      <c r="A145" s="7">
        <f>所有指标!A149</f>
        <v>45053</v>
      </c>
      <c r="B145">
        <f>所有指标!U149</f>
        <v>6.9114000000000004</v>
      </c>
      <c r="C145">
        <f>(所有指标!B149-所有指标!E149)*100</f>
        <v>-70.889999999999986</v>
      </c>
      <c r="D145">
        <f>所有指标!V149</f>
        <v>101.29040000000001</v>
      </c>
      <c r="E145" s="17">
        <f>-所有指标!AG149/10000/所有指标!AH149</f>
        <v>2.5506886136682224E-2</v>
      </c>
      <c r="F145">
        <f>所有指标!AG149</f>
        <v>-1765</v>
      </c>
      <c r="G145">
        <f>所有指标!AH149</f>
        <v>6.9196999999999997</v>
      </c>
    </row>
    <row r="146" spans="1:7">
      <c r="A146" s="7">
        <f>所有指标!A150</f>
        <v>45046</v>
      </c>
      <c r="B146">
        <f>所有指标!U150</f>
        <v>6.9283999999999999</v>
      </c>
      <c r="C146">
        <f>(所有指标!B150-所有指标!E150)*100</f>
        <v>-66.12</v>
      </c>
      <c r="D146">
        <f>所有指标!V150</f>
        <v>101.6645</v>
      </c>
      <c r="E146" s="17">
        <f>-所有指标!AG150/10000/所有指标!AH150</f>
        <v>2.6561575216895471E-2</v>
      </c>
      <c r="F146">
        <f>所有指标!AG150</f>
        <v>-1840</v>
      </c>
      <c r="G146">
        <f>所有指标!AH150</f>
        <v>6.9272999999999998</v>
      </c>
    </row>
    <row r="147" spans="1:7">
      <c r="A147" s="7">
        <f>所有指标!A151</f>
        <v>45039</v>
      </c>
      <c r="B147">
        <f>所有指标!U151</f>
        <v>6.8898000000000001</v>
      </c>
      <c r="C147">
        <f>(所有指标!B151-所有指标!E151)*100</f>
        <v>-74.799999999999983</v>
      </c>
      <c r="D147">
        <f>所有指标!V151</f>
        <v>101.7201</v>
      </c>
      <c r="E147" s="17">
        <f>-所有指标!AG151/10000/所有指标!AH151</f>
        <v>2.5983624375045283E-2</v>
      </c>
      <c r="F147">
        <f>所有指标!AG151</f>
        <v>-1793</v>
      </c>
      <c r="G147">
        <f>所有指标!AH151</f>
        <v>6.9005000000000001</v>
      </c>
    </row>
    <row r="148" spans="1:7">
      <c r="A148" s="7">
        <f>所有指标!A152</f>
        <v>45032</v>
      </c>
      <c r="B148">
        <f>所有指标!U152</f>
        <v>6.8494999999999999</v>
      </c>
      <c r="C148">
        <f>(所有指标!B152-所有指标!E152)*100</f>
        <v>-69.19</v>
      </c>
      <c r="D148">
        <f>所有指标!V152</f>
        <v>101.5775</v>
      </c>
      <c r="E148" s="17">
        <f>-所有指标!AG152/10000/所有指标!AH152</f>
        <v>2.5109138533178116E-2</v>
      </c>
      <c r="F148">
        <f>所有指标!AG152</f>
        <v>-1725.5</v>
      </c>
      <c r="G148">
        <f>所有指标!AH152</f>
        <v>6.8719999999999999</v>
      </c>
    </row>
    <row r="149" spans="1:7">
      <c r="A149" s="7">
        <f>所有指标!A153</f>
        <v>45025</v>
      </c>
      <c r="B149">
        <f>所有指标!U153</f>
        <v>6.8754</v>
      </c>
      <c r="C149">
        <f>(所有指标!B153-所有指标!E153)*100</f>
        <v>-54.360000000000007</v>
      </c>
      <c r="D149">
        <f>所有指标!V153</f>
        <v>102.1053</v>
      </c>
      <c r="E149" s="17">
        <f>-所有指标!AG153/10000/所有指标!AH153</f>
        <v>2.3850035629626402E-2</v>
      </c>
      <c r="F149">
        <f>所有指标!AG153</f>
        <v>-1640</v>
      </c>
      <c r="G149">
        <f>所有指标!AH153</f>
        <v>6.8762999999999996</v>
      </c>
    </row>
    <row r="150" spans="1:7">
      <c r="A150" s="7">
        <f>所有指标!A154</f>
        <v>45018</v>
      </c>
      <c r="B150">
        <f>所有指标!U154</f>
        <v>6.8712999999999997</v>
      </c>
      <c r="C150">
        <f>(所有指标!B154-所有指标!E154)*100</f>
        <v>-62.72000000000002</v>
      </c>
      <c r="D150">
        <f>所有指标!V154</f>
        <v>102.59699999999999</v>
      </c>
      <c r="E150" s="17">
        <f>-所有指标!AG154/10000/所有指标!AH154</f>
        <v>2.5457878122226905E-2</v>
      </c>
      <c r="F150">
        <f>所有指标!AG154</f>
        <v>-1750</v>
      </c>
      <c r="G150">
        <f>所有指标!AH154</f>
        <v>6.8741000000000003</v>
      </c>
    </row>
    <row r="151" spans="1:7">
      <c r="A151" s="7">
        <f>所有指标!A155</f>
        <v>45011</v>
      </c>
      <c r="B151">
        <f>所有指标!U155</f>
        <v>6.8654999999999999</v>
      </c>
      <c r="C151">
        <f>(所有指标!B155-所有指标!E155)*100</f>
        <v>-51.239999999999995</v>
      </c>
      <c r="D151">
        <f>所有指标!V155</f>
        <v>103.10599999999999</v>
      </c>
      <c r="E151" s="17">
        <f>-所有指标!AG155/10000/所有指标!AH155</f>
        <v>2.3316401531139477E-2</v>
      </c>
      <c r="F151">
        <f>所有指标!AG155</f>
        <v>-1602</v>
      </c>
      <c r="G151">
        <f>所有指标!AH155</f>
        <v>6.8707000000000003</v>
      </c>
    </row>
    <row r="152" spans="1:7">
      <c r="A152" s="7">
        <f>所有指标!A156</f>
        <v>45004</v>
      </c>
      <c r="B152">
        <f>所有指标!U156</f>
        <v>6.8765000000000001</v>
      </c>
      <c r="C152">
        <f>(所有指标!B156-所有指标!E156)*100</f>
        <v>-52.980000000000025</v>
      </c>
      <c r="D152">
        <f>所有指标!V156</f>
        <v>103.86369999999999</v>
      </c>
      <c r="E152" s="17">
        <f>-所有指标!AG156/10000/所有指标!AH156</f>
        <v>2.4267758135214371E-2</v>
      </c>
      <c r="F152">
        <f>所有指标!AG156</f>
        <v>-1672</v>
      </c>
      <c r="G152">
        <f>所有指标!AH156</f>
        <v>6.8898000000000001</v>
      </c>
    </row>
    <row r="153" spans="1:7">
      <c r="A153" s="7">
        <f>所有指标!A157</f>
        <v>44997</v>
      </c>
      <c r="B153">
        <f>所有指标!U157</f>
        <v>6.9653</v>
      </c>
      <c r="C153">
        <f>(所有指标!B157-所有指标!E157)*100</f>
        <v>-83.730000000000032</v>
      </c>
      <c r="D153">
        <f>所有指标!V157</f>
        <v>104.6502</v>
      </c>
      <c r="E153" s="17">
        <f>-所有指标!AG157/10000/所有指标!AH157</f>
        <v>2.9658879649512172E-2</v>
      </c>
      <c r="F153">
        <f>所有指标!AG157</f>
        <v>-2058</v>
      </c>
      <c r="G153">
        <f>所有指标!AH157</f>
        <v>6.9389000000000003</v>
      </c>
    </row>
    <row r="154" spans="1:7">
      <c r="A154" s="7">
        <f>所有指标!A158</f>
        <v>44990</v>
      </c>
      <c r="B154">
        <f>所有指标!U158</f>
        <v>6.9001999999999999</v>
      </c>
      <c r="C154">
        <f>(所有指标!B158-所有指标!E158)*100</f>
        <v>-106.74000000000001</v>
      </c>
      <c r="D154">
        <f>所有指标!V158</f>
        <v>104.5288</v>
      </c>
      <c r="E154" s="17">
        <f>-所有指标!AG158/10000/所有指标!AH158</f>
        <v>2.6967465058284523E-2</v>
      </c>
      <c r="F154">
        <f>所有指标!AG158</f>
        <v>-1860</v>
      </c>
      <c r="G154">
        <f>所有指标!AH158</f>
        <v>6.8971999999999998</v>
      </c>
    </row>
    <row r="155" spans="1:7">
      <c r="A155" s="7">
        <f>所有指标!A159</f>
        <v>44983</v>
      </c>
      <c r="B155">
        <f>所有指标!U159</f>
        <v>6.9442000000000004</v>
      </c>
      <c r="C155">
        <f>(所有指标!B159-所有指标!E159)*100</f>
        <v>-103.74000000000004</v>
      </c>
      <c r="D155">
        <f>所有指标!V159</f>
        <v>105.26179999999999</v>
      </c>
      <c r="E155" s="17">
        <f>-所有指标!AG159/10000/所有指标!AH159</f>
        <v>2.6160458452722062E-2</v>
      </c>
      <c r="F155">
        <f>所有指标!AG159</f>
        <v>-1826</v>
      </c>
      <c r="G155">
        <f>所有指标!AH159</f>
        <v>6.98</v>
      </c>
    </row>
    <row r="156" spans="1:7">
      <c r="A156" s="7"/>
    </row>
    <row r="157" spans="1:7">
      <c r="A157" s="7"/>
    </row>
    <row r="158" spans="1:7">
      <c r="A158" s="7"/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D38-619F-41F9-9C6C-AB9330A6D85B}">
  <sheetPr codeName="Sheet7"/>
  <dimension ref="A1:M158"/>
  <sheetViews>
    <sheetView workbookViewId="0">
      <selection activeCell="G20" sqref="G20"/>
    </sheetView>
  </sheetViews>
  <sheetFormatPr baseColWidth="10" defaultColWidth="8.83203125" defaultRowHeight="15"/>
  <cols>
    <col min="1" max="1" width="12.33203125" bestFit="1" customWidth="1"/>
    <col min="4" max="4" width="15.5" bestFit="1" customWidth="1"/>
    <col min="7" max="7" width="15.5" bestFit="1" customWidth="1"/>
    <col min="10" max="10" width="15.5" bestFit="1" customWidth="1"/>
  </cols>
  <sheetData>
    <row r="1" spans="1:13">
      <c r="B1" s="26" t="s">
        <v>4</v>
      </c>
      <c r="C1" s="26"/>
      <c r="D1" s="26"/>
      <c r="E1" s="26" t="s">
        <v>5</v>
      </c>
      <c r="F1" s="26"/>
      <c r="G1" s="26"/>
      <c r="H1" s="26" t="s">
        <v>6</v>
      </c>
      <c r="I1" s="26"/>
      <c r="J1" s="26"/>
      <c r="K1" s="26" t="s">
        <v>21</v>
      </c>
      <c r="L1" s="26"/>
      <c r="M1" s="26"/>
    </row>
    <row r="2" spans="1:13">
      <c r="A2" t="s">
        <v>54</v>
      </c>
      <c r="B2" t="s">
        <v>19</v>
      </c>
      <c r="C2" t="s">
        <v>20</v>
      </c>
      <c r="D2" t="s">
        <v>71</v>
      </c>
      <c r="E2" t="s">
        <v>94</v>
      </c>
      <c r="F2" t="s">
        <v>95</v>
      </c>
      <c r="G2" t="s">
        <v>71</v>
      </c>
      <c r="H2" t="s">
        <v>76</v>
      </c>
      <c r="I2" t="s">
        <v>68</v>
      </c>
      <c r="J2" t="s">
        <v>71</v>
      </c>
      <c r="K2" t="s">
        <v>77</v>
      </c>
      <c r="L2" t="s">
        <v>78</v>
      </c>
      <c r="M2" t="s">
        <v>71</v>
      </c>
    </row>
    <row r="3" spans="1:13">
      <c r="A3" s="7">
        <f>所有指标!A7</f>
        <v>46047</v>
      </c>
      <c r="B3">
        <f>所有指标!W7-所有指标!X7*所有指标!U7/31.1035</f>
        <v>-9.6332567074341569E-2</v>
      </c>
      <c r="C3">
        <f>所有指标!J7</f>
        <v>1.92</v>
      </c>
      <c r="D3">
        <f>所有指标!U7</f>
        <v>6.9641999999999999</v>
      </c>
      <c r="E3">
        <f>所有指标!AE7-所有指标!AD7</f>
        <v>163</v>
      </c>
      <c r="F3">
        <f>所有指标!AF7</f>
        <v>795</v>
      </c>
      <c r="G3">
        <f>所有指标!U7</f>
        <v>6.9641999999999999</v>
      </c>
      <c r="H3">
        <f>所有指标!Y7-所有指标!Z7</f>
        <v>-4.1599999999999966</v>
      </c>
      <c r="I3">
        <f>所有指标!V7</f>
        <v>97.505300000000005</v>
      </c>
      <c r="J3">
        <f>所有指标!U7</f>
        <v>6.9641999999999999</v>
      </c>
      <c r="K3">
        <f>所有指标!AB7-所有指标!AC7</f>
        <v>-443.28999999999996</v>
      </c>
      <c r="L3">
        <f>所有指标!AA7</f>
        <v>2161911</v>
      </c>
      <c r="M3">
        <f>所有指标!U7</f>
        <v>6.9641999999999999</v>
      </c>
    </row>
    <row r="4" spans="1:13">
      <c r="A4" s="7">
        <f>所有指标!A8</f>
        <v>46040</v>
      </c>
      <c r="B4">
        <f>所有指标!W8-所有指标!X8*所有指标!U8/31.1035</f>
        <v>1.4049614995094544</v>
      </c>
      <c r="C4">
        <f>所有指标!J8</f>
        <v>1.91</v>
      </c>
      <c r="D4">
        <f>所有指标!U8</f>
        <v>6.9690000000000003</v>
      </c>
      <c r="E4">
        <f>所有指标!AE8-所有指标!AD8</f>
        <v>152</v>
      </c>
      <c r="F4">
        <f>所有指标!AF8</f>
        <v>812</v>
      </c>
      <c r="G4">
        <f>所有指标!U8</f>
        <v>6.9690000000000003</v>
      </c>
      <c r="H4">
        <f>所有指标!Y8-所有指标!Z8</f>
        <v>-4.980000000000004</v>
      </c>
      <c r="I4">
        <f>所有指标!V8</f>
        <v>99.369100000000003</v>
      </c>
      <c r="J4">
        <f>所有指标!U8</f>
        <v>6.9690000000000003</v>
      </c>
      <c r="K4">
        <f>所有指标!AB8-所有指标!AC8</f>
        <v>-469.28999999999996</v>
      </c>
      <c r="L4">
        <f>所有指标!AA8</f>
        <v>2238668</v>
      </c>
      <c r="M4">
        <f>所有指标!U8</f>
        <v>6.9690000000000003</v>
      </c>
    </row>
    <row r="5" spans="1:13">
      <c r="A5" s="7">
        <f>所有指标!A9</f>
        <v>46033</v>
      </c>
      <c r="B5">
        <f>所有指标!W9-所有指标!X9*所有指标!U9/31.1035</f>
        <v>-7.8084447087946955</v>
      </c>
      <c r="C5">
        <f>所有指标!J9</f>
        <v>1.9</v>
      </c>
      <c r="D5">
        <f>所有指标!U9</f>
        <v>6.9821</v>
      </c>
      <c r="E5">
        <f>所有指标!AE9-所有指标!AD9</f>
        <v>150</v>
      </c>
      <c r="F5">
        <f>所有指标!AF9</f>
        <v>814.5</v>
      </c>
      <c r="G5">
        <f>所有指标!U9</f>
        <v>6.9821</v>
      </c>
      <c r="H5">
        <f>所有指标!Y9-所有指标!Z9</f>
        <v>-4.240000000000002</v>
      </c>
      <c r="I5">
        <f>所有指标!V9</f>
        <v>99.136799999999994</v>
      </c>
      <c r="J5">
        <f>所有指标!U9</f>
        <v>6.9821</v>
      </c>
      <c r="K5">
        <f>所有指标!AB9-所有指标!AC9</f>
        <v>-438.86000000000013</v>
      </c>
      <c r="L5">
        <f>所有指标!AA9</f>
        <v>2260449</v>
      </c>
      <c r="M5">
        <f>所有指标!U9</f>
        <v>6.9821</v>
      </c>
    </row>
    <row r="6" spans="1:13">
      <c r="A6" s="7">
        <f>所有指标!A10</f>
        <v>46026</v>
      </c>
      <c r="B6">
        <f>所有指标!W10-所有指标!X10*所有指标!U10/31.1035</f>
        <v>1.9289906280644118</v>
      </c>
      <c r="C6">
        <f>所有指标!J10</f>
        <v>1.94</v>
      </c>
      <c r="D6">
        <f>所有指标!U10</f>
        <v>6.9889999999999999</v>
      </c>
      <c r="E6">
        <f>所有指标!AE10-所有指标!AD10</f>
        <v>148</v>
      </c>
      <c r="F6">
        <f>所有指标!AF10</f>
        <v>789.5</v>
      </c>
      <c r="G6">
        <f>所有指标!U10</f>
        <v>6.9889999999999999</v>
      </c>
      <c r="H6">
        <f>所有指标!Y10-所有指标!Z10</f>
        <v>-3.4699999999999989</v>
      </c>
      <c r="I6">
        <f>所有指标!V10</f>
        <v>98.459400000000002</v>
      </c>
      <c r="J6">
        <f>所有指标!U10</f>
        <v>6.9889999999999999</v>
      </c>
      <c r="K6">
        <f>所有指标!AB10-所有指标!AC10</f>
        <v>-420.42999999999984</v>
      </c>
      <c r="L6">
        <f>所有指标!AA10</f>
        <v>2149817</v>
      </c>
      <c r="M6">
        <f>所有指标!U10</f>
        <v>6.9889999999999999</v>
      </c>
    </row>
    <row r="7" spans="1:13">
      <c r="A7" s="7">
        <f>所有指标!A11</f>
        <v>46019</v>
      </c>
      <c r="B7">
        <f>所有指标!W11-所有指标!X11*所有指标!U11/31.1035</f>
        <v>-11.64788367868573</v>
      </c>
      <c r="C7">
        <f>所有指标!J11</f>
        <v>1.91</v>
      </c>
      <c r="D7">
        <f>所有指标!U11</f>
        <v>7.0084999999999997</v>
      </c>
      <c r="E7">
        <f>所有指标!AE11-所有指标!AD11</f>
        <v>165</v>
      </c>
      <c r="F7">
        <f>所有指标!AF11</f>
        <v>783</v>
      </c>
      <c r="G7">
        <f>所有指标!U11</f>
        <v>7.0084999999999997</v>
      </c>
      <c r="H7">
        <f>所有指标!Y11-所有指标!Z11</f>
        <v>-3.3999999999999986</v>
      </c>
      <c r="I7">
        <f>所有指标!V11</f>
        <v>98.034099999999995</v>
      </c>
      <c r="J7">
        <f>所有指标!U11</f>
        <v>7.0084999999999997</v>
      </c>
      <c r="K7">
        <f>所有指标!AB11-所有指标!AC11</f>
        <v>-384.86000000000013</v>
      </c>
      <c r="L7">
        <f>所有指标!AA11</f>
        <v>2086665</v>
      </c>
      <c r="M7">
        <f>所有指标!U11</f>
        <v>7.0084999999999997</v>
      </c>
    </row>
    <row r="8" spans="1:13">
      <c r="A8" s="7">
        <f>所有指标!A12</f>
        <v>46012</v>
      </c>
      <c r="B8">
        <f>所有指标!W12-所有指标!X12*所有指标!U12/31.1035</f>
        <v>-9.0567637082643841</v>
      </c>
      <c r="C8">
        <f>所有指标!J12</f>
        <v>1.92</v>
      </c>
      <c r="D8">
        <f>所有指标!U12</f>
        <v>7.0410000000000004</v>
      </c>
      <c r="E8">
        <f>所有指标!AE12-所有指标!AD12</f>
        <v>150</v>
      </c>
      <c r="F8">
        <f>所有指标!AF12</f>
        <v>780</v>
      </c>
      <c r="G8">
        <f>所有指标!U12</f>
        <v>7.0410000000000004</v>
      </c>
      <c r="H8">
        <f>所有指标!Y12-所有指标!Z12</f>
        <v>-3.5799999999999983</v>
      </c>
      <c r="I8">
        <f>所有指标!V12</f>
        <v>98.712500000000006</v>
      </c>
      <c r="J8">
        <f>所有指标!U12</f>
        <v>7.0410000000000004</v>
      </c>
      <c r="K8">
        <f>所有指标!AB12-所有指标!AC12</f>
        <v>-402.13999999999987</v>
      </c>
      <c r="L8">
        <f>所有指标!AA12</f>
        <v>2116090</v>
      </c>
      <c r="M8">
        <f>所有指标!U12</f>
        <v>7.0410000000000004</v>
      </c>
    </row>
    <row r="9" spans="1:13">
      <c r="A9" s="7">
        <f>所有指标!A13</f>
        <v>46005</v>
      </c>
      <c r="B9">
        <f>所有指标!W13-所有指标!X13*所有指标!U13/31.1035</f>
        <v>-11.495414020930184</v>
      </c>
      <c r="C9">
        <f>所有指标!J13</f>
        <v>1.93</v>
      </c>
      <c r="D9">
        <f>所有指标!U13</f>
        <v>7.0553999999999997</v>
      </c>
      <c r="E9">
        <f>所有指标!AE13-所有指标!AD13</f>
        <v>172</v>
      </c>
      <c r="F9">
        <f>所有指标!AF13</f>
        <v>760.5</v>
      </c>
      <c r="G9">
        <f>所有指标!U13</f>
        <v>7.0553999999999997</v>
      </c>
      <c r="H9">
        <f>所有指标!Y13-所有指标!Z13</f>
        <v>-3.6899999999999977</v>
      </c>
      <c r="I9">
        <f>所有指标!V13</f>
        <v>98.401200000000003</v>
      </c>
      <c r="J9">
        <f>所有指标!U13</f>
        <v>7.0553999999999997</v>
      </c>
      <c r="K9">
        <f>所有指标!AB13-所有指标!AC13</f>
        <v>-389.42999999999984</v>
      </c>
      <c r="L9">
        <f>所有指标!AA13</f>
        <v>1925112</v>
      </c>
      <c r="M9">
        <f>所有指标!U13</f>
        <v>7.0553999999999997</v>
      </c>
    </row>
    <row r="10" spans="1:13">
      <c r="A10" s="7">
        <f>所有指标!A14</f>
        <v>45998</v>
      </c>
      <c r="B10">
        <f>所有指标!W14-所有指标!X14*所有指标!U14/31.1035</f>
        <v>-2.1476039673984815E-2</v>
      </c>
      <c r="C10">
        <f>所有指标!J14</f>
        <v>1.88</v>
      </c>
      <c r="D10">
        <f>所有指标!U14</f>
        <v>7.0705999999999998</v>
      </c>
      <c r="E10">
        <f>所有指标!AE14-所有指标!AD14</f>
        <v>163</v>
      </c>
      <c r="F10">
        <f>所有指标!AF14</f>
        <v>785.5</v>
      </c>
      <c r="G10">
        <f>所有指标!U14</f>
        <v>7.0705999999999998</v>
      </c>
      <c r="H10">
        <f>所有指标!Y14-所有指标!Z14</f>
        <v>-3.7199999999999989</v>
      </c>
      <c r="I10">
        <f>所有指标!V14</f>
        <v>98.983000000000004</v>
      </c>
      <c r="J10">
        <f>所有指标!U14</f>
        <v>7.0705999999999998</v>
      </c>
      <c r="K10">
        <f>所有指标!AB14-所有指标!AC14</f>
        <v>-290.42999999999984</v>
      </c>
      <c r="L10">
        <f>所有指标!AA14</f>
        <v>1783520</v>
      </c>
      <c r="M10">
        <f>所有指标!U14</f>
        <v>7.0705999999999998</v>
      </c>
    </row>
    <row r="11" spans="1:13">
      <c r="A11" s="7">
        <f>所有指标!A15</f>
        <v>45991</v>
      </c>
      <c r="B11">
        <f>所有指标!W15-所有指标!X15*所有指标!U15/31.1035</f>
        <v>-14.869948398090173</v>
      </c>
      <c r="C11">
        <f>所有指标!J15</f>
        <v>1.79</v>
      </c>
      <c r="D11">
        <f>所有指标!U15</f>
        <v>7.0793999999999997</v>
      </c>
      <c r="E11">
        <f>所有指标!AE15-所有指标!AD15</f>
        <v>192</v>
      </c>
      <c r="F11">
        <f>所有指标!AF15</f>
        <v>794</v>
      </c>
      <c r="G11">
        <f>所有指标!U15</f>
        <v>7.0793999999999997</v>
      </c>
      <c r="H11">
        <f>所有指标!Y15-所有指标!Z15</f>
        <v>-3.8400000000000034</v>
      </c>
      <c r="I11">
        <f>所有指标!V15</f>
        <v>99.439099999999996</v>
      </c>
      <c r="J11">
        <f>所有指标!U15</f>
        <v>7.0793999999999997</v>
      </c>
      <c r="K11">
        <f>所有指标!AB15-所有指标!AC15</f>
        <v>-63.429999999999836</v>
      </c>
      <c r="L11">
        <f>所有指标!AA15</f>
        <v>1297132</v>
      </c>
      <c r="M11">
        <f>所有指标!U15</f>
        <v>7.0793999999999997</v>
      </c>
    </row>
    <row r="12" spans="1:13">
      <c r="A12" s="7">
        <f>所有指标!A16</f>
        <v>45984</v>
      </c>
      <c r="B12">
        <f>所有指标!W16-所有指标!X16*所有指标!U16/31.1035</f>
        <v>-1.8212918160335221</v>
      </c>
      <c r="C12">
        <f>所有指标!J16</f>
        <v>1.82</v>
      </c>
      <c r="D12">
        <f>所有指标!U16</f>
        <v>7.1102999999999996</v>
      </c>
      <c r="E12">
        <f>所有指标!AE16-所有指标!AD16</f>
        <v>213</v>
      </c>
      <c r="F12">
        <f>所有指标!AF16</f>
        <v>785.5</v>
      </c>
      <c r="G12">
        <f>所有指标!U16</f>
        <v>7.1102999999999996</v>
      </c>
      <c r="H12">
        <f>所有指标!Y16-所有指标!Z16</f>
        <v>-4.5300000000000011</v>
      </c>
      <c r="I12">
        <f>所有指标!V16</f>
        <v>100.1527</v>
      </c>
      <c r="J12">
        <f>所有指标!U16</f>
        <v>7.1102999999999996</v>
      </c>
      <c r="K12">
        <f>所有指标!AB16-所有指标!AC16</f>
        <v>-63.429999999999836</v>
      </c>
      <c r="L12">
        <f>所有指标!AA16</f>
        <v>1511379</v>
      </c>
      <c r="M12">
        <f>所有指标!U16</f>
        <v>7.1102999999999996</v>
      </c>
    </row>
    <row r="13" spans="1:13">
      <c r="A13" s="7">
        <f>所有指标!A17</f>
        <v>45977</v>
      </c>
      <c r="B13">
        <f>所有指标!W17-所有指标!X17*所有指标!U17/31.1035</f>
        <v>20.761558024016608</v>
      </c>
      <c r="C13">
        <f>所有指标!J17</f>
        <v>1.86</v>
      </c>
      <c r="D13">
        <f>所有指标!U17</f>
        <v>7.1006999999999998</v>
      </c>
      <c r="E13">
        <f>所有指标!AE17-所有指标!AD17</f>
        <v>203</v>
      </c>
      <c r="F13">
        <f>所有指标!AF17</f>
        <v>772.5</v>
      </c>
      <c r="G13">
        <f>所有指标!U17</f>
        <v>7.1006999999999998</v>
      </c>
      <c r="H13">
        <f>所有指标!Y17-所有指标!Z17</f>
        <v>-4.3400000000000034</v>
      </c>
      <c r="I13">
        <f>所有指标!V17</f>
        <v>99.284499999999994</v>
      </c>
      <c r="J13">
        <f>所有指标!U17</f>
        <v>7.1006999999999998</v>
      </c>
      <c r="K13">
        <f>所有指标!AB17-所有指标!AC17</f>
        <v>-32</v>
      </c>
      <c r="L13">
        <f>所有指标!AA17</f>
        <v>1700146</v>
      </c>
      <c r="M13">
        <f>所有指标!U17</f>
        <v>7.1006999999999998</v>
      </c>
    </row>
    <row r="14" spans="1:13">
      <c r="A14" s="7">
        <f>所有指标!A18</f>
        <v>45970</v>
      </c>
      <c r="B14">
        <f>所有指标!W18-所有指标!X18*所有指标!U18/31.1035</f>
        <v>3.4997640136962218</v>
      </c>
      <c r="C14">
        <f>所有指标!J18</f>
        <v>1.83</v>
      </c>
      <c r="D14">
        <f>所有指标!U18</f>
        <v>7.1224999999999996</v>
      </c>
      <c r="E14">
        <f>所有指标!AE18-所有指标!AD18</f>
        <v>211</v>
      </c>
      <c r="F14">
        <f>所有指标!AF18</f>
        <v>760.5</v>
      </c>
      <c r="G14">
        <f>所有指标!U18</f>
        <v>7.1224999999999996</v>
      </c>
      <c r="H14">
        <f>所有指标!Y18-所有指标!Z18</f>
        <v>-3.8599999999999994</v>
      </c>
      <c r="I14">
        <f>所有指标!V18</f>
        <v>99.547700000000006</v>
      </c>
      <c r="J14">
        <f>所有指标!U18</f>
        <v>7.1224999999999996</v>
      </c>
      <c r="K14">
        <f>所有指标!AB18-所有指标!AC18</f>
        <v>-39.710000000000036</v>
      </c>
      <c r="L14">
        <f>所有指标!AA18</f>
        <v>1577123</v>
      </c>
      <c r="M14">
        <f>所有指标!U18</f>
        <v>7.1224999999999996</v>
      </c>
    </row>
    <row r="15" spans="1:13">
      <c r="A15" s="7">
        <f>所有指标!A19</f>
        <v>45963</v>
      </c>
      <c r="B15">
        <f>所有指标!W19-所有指标!X19*所有指标!U19/31.1035</f>
        <v>4.0387036828651617</v>
      </c>
      <c r="C15">
        <f>所有指标!J19</f>
        <v>1.81</v>
      </c>
      <c r="D15">
        <f>所有指标!U19</f>
        <v>7.1135000000000002</v>
      </c>
      <c r="E15">
        <f>所有指标!AE19-所有指标!AD19</f>
        <v>202</v>
      </c>
      <c r="F15">
        <f>所有指标!AF19</f>
        <v>800</v>
      </c>
      <c r="G15">
        <f>所有指标!U19</f>
        <v>7.1135000000000002</v>
      </c>
      <c r="H15">
        <f>所有指标!Y19-所有指标!Z19</f>
        <v>-3.6999999999999957</v>
      </c>
      <c r="I15">
        <f>所有指标!V19</f>
        <v>99.730800000000002</v>
      </c>
      <c r="J15">
        <f>所有指标!U19</f>
        <v>7.1135000000000002</v>
      </c>
      <c r="K15">
        <f>所有指标!AB19-所有指标!AC19</f>
        <v>-52.710000000000036</v>
      </c>
      <c r="L15">
        <f>所有指标!AA19</f>
        <v>1649285</v>
      </c>
      <c r="M15">
        <f>所有指标!U19</f>
        <v>7.1135000000000002</v>
      </c>
    </row>
    <row r="16" spans="1:13">
      <c r="A16" s="7">
        <f>所有指标!A20</f>
        <v>45956</v>
      </c>
      <c r="B16">
        <f>所有指标!W20-所有指标!X20*所有指标!U20/31.1035</f>
        <v>-6.9997058208882663</v>
      </c>
      <c r="C16">
        <f>所有指标!J20</f>
        <v>1.73</v>
      </c>
      <c r="D16">
        <f>所有指标!U20</f>
        <v>7.1230000000000002</v>
      </c>
      <c r="E16">
        <f>所有指标!AE20-所有指标!AD20</f>
        <v>204</v>
      </c>
      <c r="F16">
        <f>所有指标!AF20</f>
        <v>771</v>
      </c>
      <c r="G16">
        <f>所有指标!U20</f>
        <v>7.1230000000000002</v>
      </c>
      <c r="H16">
        <f>所有指标!Y20-所有指标!Z20</f>
        <v>-3.480000000000004</v>
      </c>
      <c r="I16">
        <f>所有指标!V20</f>
        <v>98.941699999999997</v>
      </c>
      <c r="J16">
        <f>所有指标!U20</f>
        <v>7.1230000000000002</v>
      </c>
      <c r="K16">
        <f>所有指标!AB20-所有指标!AC20</f>
        <v>-101.28999999999996</v>
      </c>
      <c r="L16">
        <f>所有指标!AA20</f>
        <v>1758858</v>
      </c>
      <c r="M16">
        <f>所有指标!U20</f>
        <v>7.1230000000000002</v>
      </c>
    </row>
    <row r="17" spans="1:13">
      <c r="A17" s="7">
        <f>所有指标!A21</f>
        <v>45949</v>
      </c>
      <c r="B17">
        <f>所有指标!W21-所有指标!X21*所有指标!U21/31.1035</f>
        <v>21.929684762165039</v>
      </c>
      <c r="C17">
        <f>所有指标!J21</f>
        <v>1.75</v>
      </c>
      <c r="D17">
        <f>所有指标!U21</f>
        <v>7.1265000000000001</v>
      </c>
      <c r="E17">
        <f>所有指标!AE21-所有指标!AD21</f>
        <v>167</v>
      </c>
      <c r="F17">
        <f>所有指标!AF21</f>
        <v>771</v>
      </c>
      <c r="G17">
        <f>所有指标!U21</f>
        <v>7.1265000000000001</v>
      </c>
      <c r="H17">
        <f>所有指标!Y21-所有指标!Z21</f>
        <v>-4.0900000000000034</v>
      </c>
      <c r="I17">
        <f>所有指标!V21</f>
        <v>98.555599999999998</v>
      </c>
      <c r="J17">
        <f>所有指标!U21</f>
        <v>7.1265000000000001</v>
      </c>
      <c r="K17">
        <f>所有指标!AB21-所有指标!AC21</f>
        <v>-125.42999999999984</v>
      </c>
      <c r="L17">
        <f>所有指标!AA21</f>
        <v>2044648</v>
      </c>
      <c r="M17">
        <f>所有指标!U21</f>
        <v>7.1265000000000001</v>
      </c>
    </row>
    <row r="18" spans="1:13">
      <c r="A18" s="7">
        <f>所有指标!A22</f>
        <v>45942</v>
      </c>
      <c r="B18">
        <f>所有指标!W22-所有指标!X22*所有指标!U22/31.1035</f>
        <v>-22.634177504139416</v>
      </c>
      <c r="C18">
        <f>所有指标!J22</f>
        <v>1.75</v>
      </c>
      <c r="D18">
        <f>所有指标!U22</f>
        <v>7.1231999999999998</v>
      </c>
      <c r="E18">
        <f>所有指标!AE22-所有指标!AD22</f>
        <v>182</v>
      </c>
      <c r="F18">
        <f>所有指标!AF22</f>
        <v>795</v>
      </c>
      <c r="G18">
        <f>所有指标!U22</f>
        <v>7.1231999999999998</v>
      </c>
      <c r="H18">
        <f>所有指标!Y22-所有指标!Z22</f>
        <v>-3.8500000000000014</v>
      </c>
      <c r="I18">
        <f>所有指标!V22</f>
        <v>98.822299999999998</v>
      </c>
      <c r="J18">
        <f>所有指标!U22</f>
        <v>7.1231999999999998</v>
      </c>
      <c r="K18">
        <f>所有指标!AB22-所有指标!AC22</f>
        <v>-128.57000000000016</v>
      </c>
      <c r="L18">
        <f>所有指标!AA22</f>
        <v>1927483</v>
      </c>
      <c r="M18">
        <f>所有指标!U22</f>
        <v>7.1231999999999998</v>
      </c>
    </row>
    <row r="19" spans="1:13">
      <c r="A19" s="7">
        <f>所有指标!A23</f>
        <v>45935</v>
      </c>
      <c r="B19">
        <f>所有指标!W23-所有指标!X23*所有指标!U23/31.1035</f>
        <v>-20.955026283215602</v>
      </c>
      <c r="C19">
        <f>所有指标!J23</f>
        <v>1.8</v>
      </c>
      <c r="D19">
        <f>所有指标!U23</f>
        <v>7.1185999999999998</v>
      </c>
      <c r="E19">
        <f>所有指标!AE23-所有指标!AD23</f>
        <v>181</v>
      </c>
      <c r="F19">
        <f>所有指标!AF23</f>
        <v>780.5</v>
      </c>
      <c r="G19">
        <f>所有指标!U23</f>
        <v>7.1185999999999998</v>
      </c>
      <c r="H19">
        <f>所有指标!Y23-所有指标!Z23</f>
        <v>-3.6700000000000017</v>
      </c>
      <c r="I19">
        <f>所有指标!V23</f>
        <v>97.722899999999996</v>
      </c>
      <c r="J19">
        <f>所有指标!U23</f>
        <v>7.1185999999999998</v>
      </c>
      <c r="K19">
        <f>所有指标!AB23-所有指标!AC23</f>
        <v>-90.570000000000164</v>
      </c>
      <c r="L19">
        <f>所有指标!AA23</f>
        <v>1864639</v>
      </c>
      <c r="M19">
        <f>所有指标!U23</f>
        <v>7.1185999999999998</v>
      </c>
    </row>
    <row r="20" spans="1:13">
      <c r="A20" s="7">
        <f>所有指标!A24</f>
        <v>45928</v>
      </c>
      <c r="B20">
        <f>所有指标!W24-所有指标!X24*所有指标!U24/31.1035</f>
        <v>-13.241785972639832</v>
      </c>
      <c r="C20">
        <f>所有指标!J24</f>
        <v>1.82</v>
      </c>
      <c r="D20">
        <f>所有指标!U24</f>
        <v>7.1345000000000001</v>
      </c>
      <c r="E20">
        <f>所有指标!AE24-所有指标!AD24</f>
        <v>199</v>
      </c>
      <c r="F20">
        <f>所有指标!AF24</f>
        <v>790</v>
      </c>
      <c r="G20">
        <f>所有指标!U24</f>
        <v>7.1345000000000001</v>
      </c>
      <c r="H20">
        <f>所有指标!Y24-所有指标!Z24</f>
        <v>-3.6299999999999955</v>
      </c>
      <c r="I20">
        <f>所有指标!V24</f>
        <v>98.192599999999999</v>
      </c>
      <c r="J20">
        <f>所有指标!U24</f>
        <v>7.1345000000000001</v>
      </c>
      <c r="K20">
        <f>所有指标!AB24-所有指标!AC24</f>
        <v>-79.289999999999964</v>
      </c>
      <c r="L20">
        <f>所有指标!AA24</f>
        <v>1986148</v>
      </c>
      <c r="M20">
        <f>所有指标!U24</f>
        <v>7.1345000000000001</v>
      </c>
    </row>
    <row r="21" spans="1:13">
      <c r="A21" s="7">
        <f>所有指标!A25</f>
        <v>45921</v>
      </c>
      <c r="B21">
        <f>所有指标!W25-所有指标!X25*所有指标!U25/31.1035</f>
        <v>-19.962690372466113</v>
      </c>
      <c r="C21">
        <f>所有指标!J25</f>
        <v>1.75</v>
      </c>
      <c r="D21">
        <f>所有指标!U25</f>
        <v>7.1124999999999998</v>
      </c>
      <c r="E21">
        <f>所有指标!AE25-所有指标!AD25</f>
        <v>202</v>
      </c>
      <c r="F21">
        <f>所有指标!AF25</f>
        <v>807.5</v>
      </c>
      <c r="G21">
        <f>所有指标!U25</f>
        <v>7.1124999999999998</v>
      </c>
      <c r="H21">
        <f>所有指标!Y25-所有指标!Z25</f>
        <v>-3.6899999999999977</v>
      </c>
      <c r="I21">
        <f>所有指标!V25</f>
        <v>97.651899999999998</v>
      </c>
      <c r="J21">
        <f>所有指标!U25</f>
        <v>7.1124999999999998</v>
      </c>
      <c r="K21">
        <f>所有指标!AB25-所有指标!AC25</f>
        <v>-17.710000000000036</v>
      </c>
      <c r="L21">
        <f>所有指标!AA25</f>
        <v>2020535</v>
      </c>
      <c r="M21">
        <f>所有指标!U25</f>
        <v>7.1124999999999998</v>
      </c>
    </row>
    <row r="22" spans="1:13">
      <c r="A22" s="7">
        <f>所有指标!A26</f>
        <v>45914</v>
      </c>
      <c r="B22">
        <f>所有指标!W26-所有指标!X26*所有指标!U26/31.1035</f>
        <v>-8.6246213448646358</v>
      </c>
      <c r="C22">
        <f>所有指标!J26</f>
        <v>1.7</v>
      </c>
      <c r="D22">
        <f>所有指标!U26</f>
        <v>7.1223999999999998</v>
      </c>
      <c r="E22">
        <f>所有指标!AE26-所有指标!AD26</f>
        <v>237</v>
      </c>
      <c r="F22">
        <f>所有指标!AF26</f>
        <v>799.5</v>
      </c>
      <c r="G22">
        <f>所有指标!U26</f>
        <v>7.1223999999999998</v>
      </c>
      <c r="H22">
        <f>所有指标!Y26-所有指标!Z26</f>
        <v>-4.279999999999994</v>
      </c>
      <c r="I22">
        <f>所有指标!V26</f>
        <v>97.617800000000003</v>
      </c>
      <c r="J22">
        <f>所有指标!U26</f>
        <v>7.1223999999999998</v>
      </c>
      <c r="K22">
        <f>所有指标!AB26-所有指标!AC26</f>
        <v>-0.42999999999983629</v>
      </c>
      <c r="L22">
        <f>所有指标!AA26</f>
        <v>1986206</v>
      </c>
      <c r="M22">
        <f>所有指标!U26</f>
        <v>7.1223999999999998</v>
      </c>
    </row>
    <row r="23" spans="1:13">
      <c r="A23" s="7">
        <f>所有指标!A27</f>
        <v>45907</v>
      </c>
      <c r="B23">
        <f>所有指标!W27-所有指标!X27*所有指标!U27/31.1035</f>
        <v>-19.681059687816628</v>
      </c>
      <c r="C23">
        <f>所有指标!J27</f>
        <v>1.73</v>
      </c>
      <c r="D23">
        <f>所有指标!U27</f>
        <v>7.1378000000000004</v>
      </c>
      <c r="E23">
        <f>所有指标!AE27-所有指标!AD27</f>
        <v>197</v>
      </c>
      <c r="F23">
        <f>所有指标!AF27</f>
        <v>789.5</v>
      </c>
      <c r="G23">
        <f>所有指标!U27</f>
        <v>7.1378000000000004</v>
      </c>
      <c r="H23">
        <f>所有指标!Y27-所有指标!Z27</f>
        <v>-3.7000000000000028</v>
      </c>
      <c r="I23">
        <f>所有指标!V27</f>
        <v>97.735699999999994</v>
      </c>
      <c r="J23">
        <f>所有指标!U27</f>
        <v>7.1378000000000004</v>
      </c>
      <c r="K23">
        <f>所有指标!AB27-所有指标!AC27</f>
        <v>-5.5700000000001637</v>
      </c>
      <c r="L23">
        <f>所有指标!AA27</f>
        <v>1996647</v>
      </c>
      <c r="M23">
        <f>所有指标!U27</f>
        <v>7.1378000000000004</v>
      </c>
    </row>
    <row r="24" spans="1:13">
      <c r="A24" s="7">
        <f>所有指标!A28</f>
        <v>45900</v>
      </c>
      <c r="B24">
        <f>所有指标!W28-所有指标!X28*所有指标!U28/31.1035</f>
        <v>-21.2310955358721</v>
      </c>
      <c r="C24">
        <f>所有指标!J28</f>
        <v>1.82</v>
      </c>
      <c r="D24">
        <f>所有指标!U28</f>
        <v>7.133</v>
      </c>
      <c r="E24">
        <f>所有指标!AE28-所有指标!AD28</f>
        <v>256</v>
      </c>
      <c r="F24">
        <f>所有指标!AF28</f>
        <v>787.5</v>
      </c>
      <c r="G24">
        <f>所有指标!U28</f>
        <v>7.133</v>
      </c>
      <c r="H24">
        <f>所有指标!Y28-所有指标!Z28</f>
        <v>-3.4499999999999886</v>
      </c>
      <c r="I24">
        <f>所有指标!V28</f>
        <v>97.847700000000003</v>
      </c>
      <c r="J24">
        <f>所有指标!U28</f>
        <v>7.133</v>
      </c>
      <c r="K24">
        <f>所有指标!AB28-所有指标!AC28</f>
        <v>-16.139999999999873</v>
      </c>
      <c r="L24">
        <f>所有指标!AA28</f>
        <v>2030073</v>
      </c>
      <c r="M24">
        <f>所有指标!U28</f>
        <v>7.133</v>
      </c>
    </row>
    <row r="25" spans="1:13">
      <c r="A25" s="7">
        <f>所有指标!A29</f>
        <v>45893</v>
      </c>
      <c r="B25">
        <f>所有指标!W29-所有指标!X29*所有指标!U29/31.1035</f>
        <v>-15.488858167087301</v>
      </c>
      <c r="C25">
        <f>所有指标!J29</f>
        <v>1.85</v>
      </c>
      <c r="D25">
        <f>所有指标!U29</f>
        <v>7.1805000000000003</v>
      </c>
      <c r="E25">
        <f>所有指标!AE29-所有指标!AD29</f>
        <v>242</v>
      </c>
      <c r="F25">
        <f>所有指标!AF29</f>
        <v>770</v>
      </c>
      <c r="G25">
        <f>所有指标!U29</f>
        <v>7.1805000000000003</v>
      </c>
      <c r="H25">
        <f>所有指标!Y29-所有指标!Z29</f>
        <v>-3.490000000000002</v>
      </c>
      <c r="I25">
        <f>所有指标!V29</f>
        <v>97.724400000000003</v>
      </c>
      <c r="J25">
        <f>所有指标!U29</f>
        <v>7.1805000000000003</v>
      </c>
      <c r="K25">
        <f>所有指标!AB29-所有指标!AC29</f>
        <v>3.7100000000000364</v>
      </c>
      <c r="L25">
        <f>所有指标!AA29</f>
        <v>2000115</v>
      </c>
      <c r="M25">
        <f>所有指标!U29</f>
        <v>7.1805000000000003</v>
      </c>
    </row>
    <row r="26" spans="1:13">
      <c r="A26" s="7">
        <f>所有指标!A30</f>
        <v>45886</v>
      </c>
      <c r="B26">
        <f>所有指标!W30-所有指标!X30*所有指标!U30/31.1035</f>
        <v>-5.0890931888693558</v>
      </c>
      <c r="C26">
        <f>所有指标!J30</f>
        <v>1.95</v>
      </c>
      <c r="D26">
        <f>所有指标!U30</f>
        <v>7.1822999999999997</v>
      </c>
      <c r="E26">
        <f>所有指标!AE30-所有指标!AD30</f>
        <v>251</v>
      </c>
      <c r="F26">
        <f>所有指标!AF30</f>
        <v>776</v>
      </c>
      <c r="G26">
        <f>所有指标!U30</f>
        <v>7.1822999999999997</v>
      </c>
      <c r="H26">
        <f>所有指标!Y30-所有指标!Z30</f>
        <v>-2.9899999999999949</v>
      </c>
      <c r="I26">
        <f>所有指标!V30</f>
        <v>97.846699999999998</v>
      </c>
      <c r="J26">
        <f>所有指标!U30</f>
        <v>7.1822999999999997</v>
      </c>
      <c r="K26">
        <f>所有指标!AB30-所有指标!AC30</f>
        <v>40.139999999999873</v>
      </c>
      <c r="L26">
        <f>所有指标!AA30</f>
        <v>2015132</v>
      </c>
      <c r="M26">
        <f>所有指标!U30</f>
        <v>7.1822999999999997</v>
      </c>
    </row>
    <row r="27" spans="1:13">
      <c r="A27" s="7">
        <f>所有指标!A31</f>
        <v>45879</v>
      </c>
      <c r="B27">
        <f>所有指标!W31-所有指标!X31*所有指标!U31/31.1035</f>
        <v>-10.787532592794946</v>
      </c>
      <c r="C27">
        <f>所有指标!J31</f>
        <v>1.88</v>
      </c>
      <c r="D27">
        <f>所有指标!U31</f>
        <v>7.1825999999999999</v>
      </c>
      <c r="E27">
        <f>所有指标!AE31-所有指标!AD31</f>
        <v>215</v>
      </c>
      <c r="F27">
        <f>所有指标!AF31</f>
        <v>790</v>
      </c>
      <c r="G27">
        <f>所有指标!U31</f>
        <v>7.1825999999999999</v>
      </c>
      <c r="H27">
        <f>所有指标!Y31-所有指标!Z31</f>
        <v>-2.9699999999999918</v>
      </c>
      <c r="I27">
        <f>所有指标!V31</f>
        <v>98.266999999999996</v>
      </c>
      <c r="J27">
        <f>所有指标!U31</f>
        <v>7.1825999999999999</v>
      </c>
      <c r="K27">
        <f>所有指标!AB31-所有指标!AC31</f>
        <v>29.570000000000164</v>
      </c>
      <c r="L27">
        <f>所有指标!AA31</f>
        <v>1060946</v>
      </c>
      <c r="M27">
        <f>所有指标!U31</f>
        <v>7.1825999999999999</v>
      </c>
    </row>
    <row r="28" spans="1:13">
      <c r="A28" s="7">
        <f>所有指标!A32</f>
        <v>45872</v>
      </c>
      <c r="B28">
        <f>所有指标!W32-所有指标!X32*所有指标!U32/31.1035</f>
        <v>-21.197616988441837</v>
      </c>
      <c r="C28">
        <f>所有指标!J32</f>
        <v>1.9</v>
      </c>
      <c r="D28">
        <f>所有指标!U32</f>
        <v>7.2106000000000003</v>
      </c>
      <c r="E28">
        <f>所有指标!AE32-所有指标!AD32</f>
        <v>198</v>
      </c>
      <c r="F28">
        <f>所有指标!AF32</f>
        <v>783</v>
      </c>
      <c r="G28">
        <f>所有指标!U32</f>
        <v>7.2106000000000003</v>
      </c>
      <c r="H28">
        <f>所有指标!Y32-所有指标!Z32</f>
        <v>-2.2599999999999909</v>
      </c>
      <c r="I28">
        <f>所有指标!V32</f>
        <v>98.69</v>
      </c>
      <c r="J28">
        <f>所有指标!U32</f>
        <v>7.2106000000000003</v>
      </c>
      <c r="K28">
        <f>所有指标!AB32-所有指标!AC32</f>
        <v>32.289999999999964</v>
      </c>
      <c r="L28">
        <f>所有指标!AA32</f>
        <v>1396108</v>
      </c>
      <c r="M28">
        <f>所有指标!U32</f>
        <v>7.2106000000000003</v>
      </c>
    </row>
    <row r="29" spans="1:13">
      <c r="A29" s="7">
        <f>所有指标!A33</f>
        <v>45865</v>
      </c>
      <c r="B29">
        <f>所有指标!W33-所有指标!X33*所有指标!U33/31.1035</f>
        <v>7.952110534184385</v>
      </c>
      <c r="C29">
        <f>所有指标!J33</f>
        <v>1.96</v>
      </c>
      <c r="D29">
        <f>所有指标!U33</f>
        <v>7.1679000000000004</v>
      </c>
      <c r="E29">
        <f>所有指标!AE33-所有指标!AD33</f>
        <v>151</v>
      </c>
      <c r="F29">
        <f>所有指标!AF33</f>
        <v>802.5</v>
      </c>
      <c r="G29">
        <f>所有指标!U33</f>
        <v>7.1679000000000004</v>
      </c>
      <c r="H29">
        <f>所有指标!Y33-所有指标!Z33</f>
        <v>-2.5300000000000011</v>
      </c>
      <c r="I29">
        <f>所有指标!V33</f>
        <v>97.670100000000005</v>
      </c>
      <c r="J29">
        <f>所有指标!U33</f>
        <v>7.1679000000000004</v>
      </c>
      <c r="K29">
        <f>所有指标!AB33-所有指标!AC33</f>
        <v>57.860000000000127</v>
      </c>
      <c r="L29">
        <f>所有指标!AA33</f>
        <v>1623603</v>
      </c>
      <c r="M29">
        <f>所有指标!U33</f>
        <v>7.1679000000000004</v>
      </c>
    </row>
    <row r="30" spans="1:13">
      <c r="A30" s="7">
        <f>所有指标!A34</f>
        <v>45858</v>
      </c>
      <c r="B30">
        <f>所有指标!W34-所有指标!X34*所有指标!U34/31.1035</f>
        <v>2.7958355169032529</v>
      </c>
      <c r="C30">
        <f>所有指标!J34</f>
        <v>2.0299999999999998</v>
      </c>
      <c r="D30">
        <f>所有指标!U34</f>
        <v>7.1765999999999996</v>
      </c>
      <c r="E30">
        <f>所有指标!AE34-所有指标!AD34</f>
        <v>163</v>
      </c>
      <c r="F30">
        <f>所有指标!AF34</f>
        <v>785</v>
      </c>
      <c r="G30">
        <f>所有指标!U34</f>
        <v>7.1765999999999996</v>
      </c>
      <c r="H30">
        <f>所有指标!Y34-所有指标!Z34</f>
        <v>-3.2000000000000028</v>
      </c>
      <c r="I30">
        <f>所有指标!V34</f>
        <v>98.46</v>
      </c>
      <c r="J30">
        <f>所有指标!U34</f>
        <v>7.1765999999999996</v>
      </c>
      <c r="K30">
        <f>所有指标!AB34-所有指标!AC34</f>
        <v>86.570000000000164</v>
      </c>
      <c r="L30">
        <f>所有指标!AA34</f>
        <v>1907175</v>
      </c>
      <c r="M30">
        <f>所有指标!U34</f>
        <v>7.1765999999999996</v>
      </c>
    </row>
    <row r="31" spans="1:13">
      <c r="A31" s="7">
        <f>所有指标!A35</f>
        <v>45851</v>
      </c>
      <c r="B31">
        <f>所有指标!W35-所有指标!X35*所有指标!U35/31.1035</f>
        <v>-3.4722085938882401</v>
      </c>
      <c r="C31">
        <f>所有指标!J35</f>
        <v>2.06</v>
      </c>
      <c r="D31">
        <f>所有指标!U35</f>
        <v>7.1710000000000003</v>
      </c>
      <c r="E31">
        <f>所有指标!AE35-所有指标!AD35</f>
        <v>140</v>
      </c>
      <c r="F31">
        <f>所有指标!AF35</f>
        <v>764</v>
      </c>
      <c r="G31">
        <f>所有指标!U35</f>
        <v>7.1710000000000003</v>
      </c>
      <c r="H31">
        <f>所有指标!Y35-所有指标!Z35</f>
        <v>-1.8799999999999955</v>
      </c>
      <c r="I31">
        <f>所有指标!V35</f>
        <v>97.873099999999994</v>
      </c>
      <c r="J31">
        <f>所有指标!U35</f>
        <v>7.1710000000000003</v>
      </c>
      <c r="K31">
        <f>所有指标!AB35-所有指标!AC35</f>
        <v>61.139999999999873</v>
      </c>
      <c r="L31">
        <f>所有指标!AA35</f>
        <v>2008008</v>
      </c>
      <c r="M31">
        <f>所有指标!U35</f>
        <v>7.1710000000000003</v>
      </c>
    </row>
    <row r="32" spans="1:13">
      <c r="A32" s="7">
        <f>所有指标!A36</f>
        <v>45844</v>
      </c>
      <c r="B32">
        <f>所有指标!W36-所有指标!X36*所有指标!U36/31.1035</f>
        <v>6.1389846801806698</v>
      </c>
      <c r="C32">
        <f>所有指标!J36</f>
        <v>2.02</v>
      </c>
      <c r="D32">
        <f>所有指标!U36</f>
        <v>7.1651999999999996</v>
      </c>
      <c r="E32">
        <f>所有指标!AE36-所有指标!AD36</f>
        <v>129</v>
      </c>
      <c r="F32">
        <f>所有指标!AF36</f>
        <v>732.5</v>
      </c>
      <c r="G32">
        <f>所有指标!U36</f>
        <v>7.1651999999999996</v>
      </c>
      <c r="H32">
        <f>所有指标!Y36-所有指标!Z36</f>
        <v>-2.0100000000000051</v>
      </c>
      <c r="I32">
        <f>所有指标!V36</f>
        <v>96.988</v>
      </c>
      <c r="J32">
        <f>所有指标!U36</f>
        <v>7.1651999999999996</v>
      </c>
      <c r="K32">
        <f>所有指标!AB36-所有指标!AC36</f>
        <v>37.710000000000036</v>
      </c>
      <c r="L32">
        <f>所有指标!AA36</f>
        <v>2123115</v>
      </c>
      <c r="M32">
        <f>所有指标!U36</f>
        <v>7.1651999999999996</v>
      </c>
    </row>
    <row r="33" spans="1:13">
      <c r="A33" s="7">
        <f>所有指标!A37</f>
        <v>45837</v>
      </c>
      <c r="B33">
        <f>所有指标!W37-所有指标!X37*所有指标!U37/31.1035</f>
        <v>8.9916408121273435</v>
      </c>
      <c r="C33">
        <f>所有指标!J37</f>
        <v>2</v>
      </c>
      <c r="D33">
        <f>所有指标!U37</f>
        <v>7.1689999999999996</v>
      </c>
      <c r="E33">
        <f>所有指标!AE37-所有指标!AD37</f>
        <v>126</v>
      </c>
      <c r="F33">
        <f>所有指标!AF37</f>
        <v>716.5</v>
      </c>
      <c r="G33">
        <f>所有指标!U37</f>
        <v>7.1689999999999996</v>
      </c>
      <c r="H33">
        <f>所有指标!Y37-所有指标!Z37</f>
        <v>-1.2700000000000102</v>
      </c>
      <c r="I33">
        <f>所有指标!V37</f>
        <v>97.261200000000002</v>
      </c>
      <c r="J33">
        <f>所有指标!U37</f>
        <v>7.1689999999999996</v>
      </c>
      <c r="K33">
        <f>所有指标!AB37-所有指标!AC37</f>
        <v>43.139999999999873</v>
      </c>
      <c r="L33">
        <f>所有指标!AA37</f>
        <v>2221758</v>
      </c>
      <c r="M33">
        <f>所有指标!U37</f>
        <v>7.1689999999999996</v>
      </c>
    </row>
    <row r="34" spans="1:13">
      <c r="A34" s="7">
        <f>所有指标!A38</f>
        <v>45830</v>
      </c>
      <c r="B34">
        <f>所有指标!W38-所有指标!X38*所有指标!U38/31.1035</f>
        <v>-3.084902020672871</v>
      </c>
      <c r="C34">
        <f>所有指标!J38</f>
        <v>2.0499999999999998</v>
      </c>
      <c r="D34">
        <f>所有指标!U38</f>
        <v>7.1837</v>
      </c>
      <c r="E34">
        <f>所有指标!AE38-所有指标!AD38</f>
        <v>124</v>
      </c>
      <c r="F34">
        <f>所有指标!AF38</f>
        <v>703</v>
      </c>
      <c r="G34">
        <f>所有指标!U38</f>
        <v>7.1837</v>
      </c>
      <c r="H34">
        <f>所有指标!Y38-所有指标!Z38</f>
        <v>-1.7399999999999949</v>
      </c>
      <c r="I34">
        <f>所有指标!V38</f>
        <v>98.763900000000007</v>
      </c>
      <c r="J34">
        <f>所有指标!U38</f>
        <v>7.1837</v>
      </c>
      <c r="K34">
        <f>所有指标!AB38-所有指标!AC38</f>
        <v>51.860000000000127</v>
      </c>
      <c r="L34">
        <f>所有指标!AA38</f>
        <v>2339532</v>
      </c>
      <c r="M34">
        <f>所有指标!U38</f>
        <v>7.1837</v>
      </c>
    </row>
    <row r="35" spans="1:13">
      <c r="A35" s="7">
        <f>所有指标!A39</f>
        <v>45823</v>
      </c>
      <c r="B35">
        <f>所有指标!W39-所有指标!X39*所有指标!U39/31.1035</f>
        <v>-2.7900435642291086</v>
      </c>
      <c r="C35">
        <f>所有指标!J39</f>
        <v>2.13</v>
      </c>
      <c r="D35">
        <f>所有指标!U39</f>
        <v>7.1813000000000002</v>
      </c>
      <c r="E35">
        <f>所有指标!AE39-所有指标!AD39</f>
        <v>113</v>
      </c>
      <c r="F35">
        <f>所有指标!AF39</f>
        <v>703</v>
      </c>
      <c r="G35">
        <f>所有指标!U39</f>
        <v>7.1813000000000002</v>
      </c>
      <c r="H35">
        <f>所有指标!Y39-所有指标!Z39</f>
        <v>-2</v>
      </c>
      <c r="I35">
        <f>所有指标!V39</f>
        <v>98.144999999999996</v>
      </c>
      <c r="J35">
        <f>所有指标!U39</f>
        <v>7.1813000000000002</v>
      </c>
      <c r="K35">
        <f>所有指标!AB39-所有指标!AC39</f>
        <v>73</v>
      </c>
      <c r="L35">
        <f>所有指标!AA39</f>
        <v>2318021</v>
      </c>
      <c r="M35">
        <f>所有指标!U39</f>
        <v>7.1813000000000002</v>
      </c>
    </row>
    <row r="36" spans="1:13">
      <c r="A36" s="7">
        <f>所有指标!A40</f>
        <v>45816</v>
      </c>
      <c r="B36">
        <f>所有指标!W40-所有指标!X40*所有指标!U40/31.1035</f>
        <v>13.801329110871734</v>
      </c>
      <c r="C36">
        <f>所有指标!J40</f>
        <v>2.2000000000000002</v>
      </c>
      <c r="D36">
        <f>所有指标!U40</f>
        <v>7.1847000000000003</v>
      </c>
      <c r="E36">
        <f>所有指标!AE40-所有指标!AD40</f>
        <v>117</v>
      </c>
      <c r="F36">
        <f>所有指标!AF40</f>
        <v>707.5</v>
      </c>
      <c r="G36">
        <f>所有指标!U40</f>
        <v>7.1847000000000003</v>
      </c>
      <c r="H36">
        <f>所有指标!Y40-所有指标!Z40</f>
        <v>-1.8800000000000097</v>
      </c>
      <c r="I36">
        <f>所有指标!V40</f>
        <v>99.203100000000006</v>
      </c>
      <c r="J36">
        <f>所有指标!U40</f>
        <v>7.1847000000000003</v>
      </c>
      <c r="K36">
        <f>所有指标!AB40-所有指标!AC40</f>
        <v>70.289999999999964</v>
      </c>
      <c r="L36">
        <f>所有指标!AA40</f>
        <v>2274340</v>
      </c>
      <c r="M36">
        <f>所有指标!U40</f>
        <v>7.1847000000000003</v>
      </c>
    </row>
    <row r="37" spans="1:13">
      <c r="A37" s="7">
        <f>所有指标!A41</f>
        <v>45809</v>
      </c>
      <c r="B37">
        <f>所有指标!W41-所有指标!X41*所有指标!U41/31.1035</f>
        <v>5.3670123941035399</v>
      </c>
      <c r="C37">
        <f>所有指标!J41</f>
        <v>2.0699999999999998</v>
      </c>
      <c r="D37">
        <f>所有指标!U41</f>
        <v>7.1952999999999996</v>
      </c>
      <c r="E37">
        <f>所有指标!AE41-所有指标!AD41</f>
        <v>115</v>
      </c>
      <c r="F37">
        <f>所有指标!AF41</f>
        <v>702</v>
      </c>
      <c r="G37">
        <f>所有指标!U41</f>
        <v>7.1952999999999996</v>
      </c>
      <c r="H37">
        <f>所有指标!Y41-所有指标!Z41</f>
        <v>-1.8200000000000003</v>
      </c>
      <c r="I37">
        <f>所有指标!V41</f>
        <v>99.439300000000003</v>
      </c>
      <c r="J37">
        <f>所有指标!U41</f>
        <v>7.1952999999999996</v>
      </c>
      <c r="K37">
        <f>所有指标!AB41-所有指标!AC41</f>
        <v>-7.1399999999998727</v>
      </c>
      <c r="L37">
        <f>所有指标!AA41</f>
        <v>2209609</v>
      </c>
      <c r="M37">
        <f>所有指标!U41</f>
        <v>7.1952999999999996</v>
      </c>
    </row>
    <row r="38" spans="1:13">
      <c r="A38" s="7">
        <f>所有指标!A42</f>
        <v>45802</v>
      </c>
      <c r="B38">
        <f>所有指标!W42-所有指标!X42*所有指标!U42/31.1035</f>
        <v>3.9756361824232727</v>
      </c>
      <c r="C38">
        <f>所有指标!J42</f>
        <v>2.1800000000000002</v>
      </c>
      <c r="D38">
        <f>所有指标!U42</f>
        <v>7.1894999999999998</v>
      </c>
      <c r="E38">
        <f>所有指标!AE42-所有指标!AD42</f>
        <v>143</v>
      </c>
      <c r="F38">
        <f>所有指标!AF42</f>
        <v>718</v>
      </c>
      <c r="G38">
        <f>所有指标!U42</f>
        <v>7.1894999999999998</v>
      </c>
      <c r="H38">
        <f>所有指标!Y42-所有指标!Z42</f>
        <v>-3.2700000000000031</v>
      </c>
      <c r="I38">
        <f>所有指标!V42</f>
        <v>99.123099999999994</v>
      </c>
      <c r="J38">
        <f>所有指标!U42</f>
        <v>7.1894999999999998</v>
      </c>
      <c r="K38">
        <f>所有指标!AB42-所有指标!AC42</f>
        <v>-76</v>
      </c>
      <c r="L38">
        <f>所有指标!AA42</f>
        <v>2422679</v>
      </c>
      <c r="M38">
        <f>所有指标!U42</f>
        <v>7.1894999999999998</v>
      </c>
    </row>
    <row r="39" spans="1:13">
      <c r="A39" s="7">
        <f>所有指标!A43</f>
        <v>45795</v>
      </c>
      <c r="B39">
        <f>所有指标!W43-所有指标!X43*所有指标!U43/31.1035</f>
        <v>9.4391849791823006</v>
      </c>
      <c r="C39">
        <f>所有指标!J43</f>
        <v>2.09</v>
      </c>
      <c r="D39">
        <f>所有指标!U43</f>
        <v>7.2037000000000004</v>
      </c>
      <c r="E39">
        <f>所有指标!AE43-所有指标!AD43</f>
        <v>144</v>
      </c>
      <c r="F39">
        <f>所有指标!AF43</f>
        <v>728</v>
      </c>
      <c r="G39">
        <f>所有指标!U43</f>
        <v>7.2037000000000004</v>
      </c>
      <c r="H39">
        <f>所有指标!Y43-所有指标!Z43</f>
        <v>-3.3999999999999986</v>
      </c>
      <c r="I39">
        <f>所有指标!V43</f>
        <v>100.9828</v>
      </c>
      <c r="J39">
        <f>所有指标!U43</f>
        <v>7.2037000000000004</v>
      </c>
      <c r="K39">
        <f>所有指标!AB43-所有指标!AC43</f>
        <v>-216.71000000000004</v>
      </c>
      <c r="L39">
        <f>所有指标!AA43</f>
        <v>2536619</v>
      </c>
      <c r="M39">
        <f>所有指标!U43</f>
        <v>7.2037000000000004</v>
      </c>
    </row>
    <row r="40" spans="1:13">
      <c r="A40" s="7">
        <f>所有指标!A44</f>
        <v>45788</v>
      </c>
      <c r="B40">
        <f>所有指标!W44-所有指标!X44*所有指标!U44/31.1035</f>
        <v>12.84839198160978</v>
      </c>
      <c r="C40">
        <f>所有指标!J44</f>
        <v>2.08</v>
      </c>
      <c r="D40">
        <f>所有指标!U44</f>
        <v>7.2461000000000002</v>
      </c>
      <c r="E40">
        <f>所有指标!AE44-所有指标!AD44</f>
        <v>135</v>
      </c>
      <c r="F40">
        <f>所有指标!AF44</f>
        <v>696</v>
      </c>
      <c r="G40">
        <f>所有指标!U44</f>
        <v>7.2461000000000002</v>
      </c>
      <c r="H40">
        <f>所有指标!Y44-所有指标!Z44</f>
        <v>-2.8200000000000003</v>
      </c>
      <c r="I40">
        <f>所有指标!V44</f>
        <v>100.4218</v>
      </c>
      <c r="J40">
        <f>所有指标!U44</f>
        <v>7.2461000000000002</v>
      </c>
      <c r="K40">
        <f>所有指标!AB44-所有指标!AC44</f>
        <v>-413.28999999999996</v>
      </c>
      <c r="L40">
        <f>所有指标!AA44</f>
        <v>2607876</v>
      </c>
      <c r="M40">
        <f>所有指标!U44</f>
        <v>7.2461000000000002</v>
      </c>
    </row>
    <row r="41" spans="1:13">
      <c r="A41" s="7">
        <f>所有指标!A45</f>
        <v>45781</v>
      </c>
      <c r="B41">
        <f>所有指标!W45-所有指标!X45*所有指标!U45/31.1035</f>
        <v>21.976477566833296</v>
      </c>
      <c r="C41">
        <f>所有指标!J45</f>
        <v>2.06</v>
      </c>
      <c r="D41">
        <f>所有指标!U45</f>
        <v>7.2632000000000003</v>
      </c>
      <c r="E41">
        <f>所有指标!AE45-所有指标!AD45</f>
        <v>108</v>
      </c>
      <c r="F41">
        <f>所有指标!AF45</f>
        <v>703.5</v>
      </c>
      <c r="G41">
        <f>所有指标!U45</f>
        <v>7.2632000000000003</v>
      </c>
      <c r="H41">
        <f>所有指标!Y45-所有指标!Z45</f>
        <v>-3.0700000000000003</v>
      </c>
      <c r="I41">
        <f>所有指标!V45</f>
        <v>100.0424</v>
      </c>
      <c r="J41">
        <f>所有指标!U45</f>
        <v>7.2632000000000003</v>
      </c>
      <c r="K41">
        <f>所有指标!AB45-所有指标!AC45</f>
        <v>-624.57000000000016</v>
      </c>
      <c r="L41">
        <f>所有指标!AA45</f>
        <v>2453947</v>
      </c>
      <c r="M41">
        <f>所有指标!U45</f>
        <v>7.2632000000000003</v>
      </c>
    </row>
    <row r="42" spans="1:13">
      <c r="A42" s="7">
        <f>所有指标!A46</f>
        <v>45774</v>
      </c>
      <c r="B42">
        <f>所有指标!W46-所有指标!X46*所有指标!U46/31.1035</f>
        <v>7.399892616586726</v>
      </c>
      <c r="C42">
        <f>所有指标!J46</f>
        <v>2.02</v>
      </c>
      <c r="D42">
        <f>所有指标!U46</f>
        <v>7.2831999999999999</v>
      </c>
      <c r="E42">
        <f>所有指标!AE46-所有指标!AD46</f>
        <v>103</v>
      </c>
      <c r="F42">
        <f>所有指标!AF46</f>
        <v>709</v>
      </c>
      <c r="G42">
        <f>所有指标!U46</f>
        <v>7.2831999999999999</v>
      </c>
      <c r="H42">
        <f>所有指标!Y46-所有指标!Z46</f>
        <v>-2.6599999999999966</v>
      </c>
      <c r="I42">
        <f>所有指标!V46</f>
        <v>99.583600000000004</v>
      </c>
      <c r="J42">
        <f>所有指标!U46</f>
        <v>7.2831999999999999</v>
      </c>
      <c r="K42">
        <f>所有指标!AB46-所有指标!AC46</f>
        <v>-829</v>
      </c>
      <c r="L42">
        <f>所有指标!AA46</f>
        <v>2437193</v>
      </c>
      <c r="M42">
        <f>所有指标!U46</f>
        <v>7.2831999999999999</v>
      </c>
    </row>
    <row r="43" spans="1:13">
      <c r="A43" s="7">
        <f>所有指标!A47</f>
        <v>45767</v>
      </c>
      <c r="B43">
        <f>所有指标!W47-所有指标!X47*所有指标!U47/31.1035</f>
        <v>6.3970131978716154</v>
      </c>
      <c r="C43">
        <f>所有指标!J47</f>
        <v>2.11</v>
      </c>
      <c r="D43">
        <f>所有指标!U47</f>
        <v>7.3038999999999996</v>
      </c>
      <c r="E43">
        <f>所有指标!AE47-所有指标!AD47</f>
        <v>105</v>
      </c>
      <c r="F43">
        <f>所有指标!AF47</f>
        <v>699</v>
      </c>
      <c r="G43">
        <f>所有指标!U47</f>
        <v>7.3038999999999996</v>
      </c>
      <c r="H43">
        <f>所有指标!Y47-所有指标!Z47</f>
        <v>-4.0999999999999943</v>
      </c>
      <c r="I43">
        <f>所有指标!V47</f>
        <v>99.2286</v>
      </c>
      <c r="J43">
        <f>所有指标!U47</f>
        <v>7.3038999999999996</v>
      </c>
      <c r="K43">
        <f>所有指标!AB47-所有指标!AC47</f>
        <v>-374.13999999999987</v>
      </c>
      <c r="L43">
        <f>所有指标!AA47</f>
        <v>2414587</v>
      </c>
      <c r="M43">
        <f>所有指标!U47</f>
        <v>7.3038999999999996</v>
      </c>
    </row>
    <row r="44" spans="1:13">
      <c r="A44" s="7">
        <f>所有指标!A48</f>
        <v>45760</v>
      </c>
      <c r="B44">
        <f>所有指标!W48-所有指标!X48*所有指标!U48/31.1035</f>
        <v>-9.1897857154339135</v>
      </c>
      <c r="C44">
        <f>所有指标!J48</f>
        <v>2.2799999999999998</v>
      </c>
      <c r="D44">
        <f>所有指标!U48</f>
        <v>7.3244999999999996</v>
      </c>
      <c r="E44">
        <f>所有指标!AE48-所有指标!AD48</f>
        <v>111</v>
      </c>
      <c r="F44">
        <f>所有指标!AF48</f>
        <v>708</v>
      </c>
      <c r="G44">
        <f>所有指标!U48</f>
        <v>7.3244999999999996</v>
      </c>
      <c r="H44">
        <f>所有指标!Y48-所有指标!Z48</f>
        <v>-3.1100000000000065</v>
      </c>
      <c r="I44">
        <f>所有指标!V48</f>
        <v>99.769000000000005</v>
      </c>
      <c r="J44">
        <f>所有指标!U48</f>
        <v>7.3244999999999996</v>
      </c>
      <c r="K44">
        <f>所有指标!AB48-所有指标!AC48</f>
        <v>-189.13999999999987</v>
      </c>
      <c r="L44">
        <f>所有指标!AA48</f>
        <v>2368722</v>
      </c>
      <c r="M44">
        <f>所有指标!U48</f>
        <v>7.3244999999999996</v>
      </c>
    </row>
    <row r="45" spans="1:13">
      <c r="A45" s="7">
        <f>所有指标!A49</f>
        <v>45753</v>
      </c>
      <c r="B45">
        <f>所有指标!W49-所有指标!X49*所有指标!U49/31.1035</f>
        <v>21.349989872522428</v>
      </c>
      <c r="C45">
        <f>所有指标!J49</f>
        <v>1.83</v>
      </c>
      <c r="D45">
        <f>所有指标!U49</f>
        <v>7.3042999999999996</v>
      </c>
      <c r="E45">
        <f>所有指标!AE49-所有指标!AD49</f>
        <v>196</v>
      </c>
      <c r="F45">
        <f>所有指标!AF49</f>
        <v>788.5</v>
      </c>
      <c r="G45">
        <f>所有指标!U49</f>
        <v>7.3042999999999996</v>
      </c>
      <c r="H45">
        <f>所有指标!Y49-所有指标!Z49</f>
        <v>-3.740000000000002</v>
      </c>
      <c r="I45">
        <f>所有指标!V49</f>
        <v>102.91889999999999</v>
      </c>
      <c r="J45">
        <f>所有指标!U49</f>
        <v>7.3042999999999996</v>
      </c>
      <c r="K45">
        <f>所有指标!AB49-所有指标!AC49</f>
        <v>-264.13999999999987</v>
      </c>
      <c r="L45">
        <f>所有指标!AA49</f>
        <v>1108276</v>
      </c>
      <c r="M45">
        <f>所有指标!U49</f>
        <v>7.3042999999999996</v>
      </c>
    </row>
    <row r="46" spans="1:13">
      <c r="A46" s="7">
        <f>所有指标!A50</f>
        <v>45746</v>
      </c>
      <c r="B46">
        <f>所有指标!W50-所有指标!X50*所有指标!U50/31.1035</f>
        <v>-5.3565290079894794</v>
      </c>
      <c r="C46">
        <f>所有指标!J50</f>
        <v>1.9</v>
      </c>
      <c r="D46">
        <f>所有指标!U50</f>
        <v>7.2637</v>
      </c>
      <c r="E46">
        <f>所有指标!AE50-所有指标!AD50</f>
        <v>177</v>
      </c>
      <c r="F46">
        <f>所有指标!AF50</f>
        <v>785.5</v>
      </c>
      <c r="G46">
        <f>所有指标!U50</f>
        <v>7.2637</v>
      </c>
      <c r="H46">
        <f>所有指标!Y50-所有指标!Z50</f>
        <v>-3.5</v>
      </c>
      <c r="I46">
        <f>所有指标!V50</f>
        <v>104.03360000000001</v>
      </c>
      <c r="J46">
        <f>所有指标!U50</f>
        <v>7.2637</v>
      </c>
      <c r="K46">
        <f>所有指标!AB50-所有指标!AC50</f>
        <v>-355.86000000000013</v>
      </c>
      <c r="L46">
        <f>所有指标!AA50</f>
        <v>1486764</v>
      </c>
      <c r="M46">
        <f>所有指标!U50</f>
        <v>7.2637</v>
      </c>
    </row>
    <row r="47" spans="1:13">
      <c r="A47" s="7">
        <f>所有指标!A51</f>
        <v>45739</v>
      </c>
      <c r="B47">
        <f>所有指标!W51-所有指标!X51*所有指标!U51/31.1035</f>
        <v>1.2156631890302378</v>
      </c>
      <c r="C47">
        <f>所有指标!J51</f>
        <v>1.92</v>
      </c>
      <c r="D47">
        <f>所有指标!U51</f>
        <v>7.2488999999999999</v>
      </c>
      <c r="E47">
        <f>所有指标!AE51-所有指标!AD51</f>
        <v>195</v>
      </c>
      <c r="F47">
        <f>所有指标!AF51</f>
        <v>757.5</v>
      </c>
      <c r="G47">
        <f>所有指标!U51</f>
        <v>7.2488999999999999</v>
      </c>
      <c r="H47">
        <f>所有指标!Y51-所有指标!Z51</f>
        <v>-3.3799999999999955</v>
      </c>
      <c r="I47">
        <f>所有指标!V51</f>
        <v>104.154</v>
      </c>
      <c r="J47">
        <f>所有指标!U51</f>
        <v>7.2488999999999999</v>
      </c>
      <c r="K47">
        <f>所有指标!AB51-所有指标!AC51</f>
        <v>-459.57000000000016</v>
      </c>
      <c r="L47">
        <f>所有指标!AA51</f>
        <v>1776189</v>
      </c>
      <c r="M47">
        <f>所有指标!U51</f>
        <v>7.2488999999999999</v>
      </c>
    </row>
    <row r="48" spans="1:13">
      <c r="A48" s="7">
        <f>所有指标!A52</f>
        <v>45732</v>
      </c>
      <c r="B48">
        <f>所有指标!W52-所有指标!X52*所有指标!U52/31.1035</f>
        <v>-0.78599900332756079</v>
      </c>
      <c r="C48">
        <f>所有指标!J52</f>
        <v>2.0099999999999998</v>
      </c>
      <c r="D48">
        <f>所有指标!U52</f>
        <v>7.2287999999999997</v>
      </c>
      <c r="E48">
        <f>所有指标!AE52-所有指标!AD52</f>
        <v>176</v>
      </c>
      <c r="F48">
        <f>所有指标!AF52</f>
        <v>794</v>
      </c>
      <c r="G48">
        <f>所有指标!U52</f>
        <v>7.2287999999999997</v>
      </c>
      <c r="H48">
        <f>所有指标!Y52-所有指标!Z52</f>
        <v>-3.460000000000008</v>
      </c>
      <c r="I48">
        <f>所有指标!V52</f>
        <v>103.7363</v>
      </c>
      <c r="J48">
        <f>所有指标!U52</f>
        <v>7.2287999999999997</v>
      </c>
      <c r="K48">
        <f>所有指标!AB52-所有指标!AC52</f>
        <v>-604.13999999999987</v>
      </c>
      <c r="L48">
        <f>所有指标!AA52</f>
        <v>1942729</v>
      </c>
      <c r="M48">
        <f>所有指标!U52</f>
        <v>7.2287999999999997</v>
      </c>
    </row>
    <row r="49" spans="1:13">
      <c r="A49" s="7">
        <f>所有指标!A53</f>
        <v>45725</v>
      </c>
      <c r="B49">
        <f>所有指标!W53-所有指标!X53*所有指标!U53/31.1035</f>
        <v>0.49222884884352425</v>
      </c>
      <c r="C49">
        <f>所有指标!J53</f>
        <v>1.99</v>
      </c>
      <c r="D49">
        <f>所有指标!U53</f>
        <v>7.2382</v>
      </c>
      <c r="E49">
        <f>所有指标!AE53-所有指标!AD53</f>
        <v>111</v>
      </c>
      <c r="F49">
        <f>所有指标!AF53</f>
        <v>774</v>
      </c>
      <c r="G49">
        <f>所有指标!U53</f>
        <v>7.2382</v>
      </c>
      <c r="H49">
        <f>所有指标!Y53-所有指标!Z53</f>
        <v>-3.4000000000000057</v>
      </c>
      <c r="I49">
        <f>所有指标!V53</f>
        <v>103.89449999999999</v>
      </c>
      <c r="J49">
        <f>所有指标!U53</f>
        <v>7.2382</v>
      </c>
      <c r="K49">
        <f>所有指标!AB53-所有指标!AC53</f>
        <v>-763.57000000000016</v>
      </c>
      <c r="L49">
        <f>所有指标!AA53</f>
        <v>2200948</v>
      </c>
      <c r="M49">
        <f>所有指标!U53</f>
        <v>7.2382</v>
      </c>
    </row>
    <row r="50" spans="1:13">
      <c r="A50" s="7">
        <f>所有指标!A54</f>
        <v>45718</v>
      </c>
      <c r="B50">
        <f>所有指标!W54-所有指标!X54*所有指标!U54/31.1035</f>
        <v>0.65731123506986933</v>
      </c>
      <c r="C50">
        <f>所有指标!J54</f>
        <v>1.86</v>
      </c>
      <c r="D50">
        <f>所有指标!U54</f>
        <v>7.2838000000000003</v>
      </c>
      <c r="E50">
        <f>所有指标!AE54-所有指标!AD54</f>
        <v>97</v>
      </c>
      <c r="F50">
        <f>所有指标!AF54</f>
        <v>799.5</v>
      </c>
      <c r="G50">
        <f>所有指标!U54</f>
        <v>7.2838000000000003</v>
      </c>
      <c r="H50">
        <f>所有指标!Y54-所有指标!Z54</f>
        <v>-3.1299999999999955</v>
      </c>
      <c r="I50">
        <f>所有指标!V54</f>
        <v>107.56440000000001</v>
      </c>
      <c r="J50">
        <f>所有指标!U54</f>
        <v>7.2838000000000003</v>
      </c>
      <c r="K50">
        <f>所有指标!AB54-所有指标!AC54</f>
        <v>-797.13999999999987</v>
      </c>
      <c r="L50">
        <f>所有指标!AA54</f>
        <v>2347894</v>
      </c>
      <c r="M50">
        <f>所有指标!U54</f>
        <v>7.2838000000000003</v>
      </c>
    </row>
    <row r="51" spans="1:13">
      <c r="A51" s="7">
        <f>所有指标!A55</f>
        <v>45711</v>
      </c>
      <c r="B51">
        <f>所有指标!W55-所有指标!X55*所有指标!U55/31.1035</f>
        <v>-3.6024338096997326</v>
      </c>
      <c r="C51">
        <f>所有指标!J55</f>
        <v>2</v>
      </c>
      <c r="D51">
        <f>所有指标!U55</f>
        <v>7.2553999999999998</v>
      </c>
      <c r="E51">
        <f>所有指标!AE55-所有指标!AD55</f>
        <v>109</v>
      </c>
      <c r="F51">
        <f>所有指标!AF55</f>
        <v>838.5</v>
      </c>
      <c r="G51">
        <f>所有指标!U55</f>
        <v>7.2553999999999998</v>
      </c>
      <c r="H51">
        <f>所有指标!Y55-所有指标!Z55</f>
        <v>-3.5999999999999943</v>
      </c>
      <c r="I51">
        <f>所有指标!V55</f>
        <v>106.65009999999999</v>
      </c>
      <c r="J51">
        <f>所有指标!U55</f>
        <v>7.2553999999999998</v>
      </c>
      <c r="K51">
        <f>所有指标!AB55-所有指标!AC55</f>
        <v>-862.13999999999987</v>
      </c>
      <c r="L51">
        <f>所有指标!AA55</f>
        <v>2417013</v>
      </c>
      <c r="M51">
        <f>所有指标!U55</f>
        <v>7.2553999999999998</v>
      </c>
    </row>
    <row r="52" spans="1:13">
      <c r="A52" s="7">
        <f>所有指标!A56</f>
        <v>45704</v>
      </c>
      <c r="B52">
        <f>所有指标!W56-所有指标!X56*所有指标!U56/31.1035</f>
        <v>12.466809844551335</v>
      </c>
      <c r="C52">
        <f>所有指标!J56</f>
        <v>2.04</v>
      </c>
      <c r="D52">
        <f>所有指标!U56</f>
        <v>7.2653999999999996</v>
      </c>
      <c r="E52">
        <f>所有指标!AE56-所有指标!AD56</f>
        <v>115</v>
      </c>
      <c r="F52">
        <f>所有指标!AF56</f>
        <v>810.5</v>
      </c>
      <c r="G52">
        <f>所有指标!U56</f>
        <v>7.2653999999999996</v>
      </c>
      <c r="H52">
        <f>所有指标!Y56-所有指标!Z56</f>
        <v>-4.0700000000000074</v>
      </c>
      <c r="I52">
        <f>所有指标!V56</f>
        <v>106.80370000000001</v>
      </c>
      <c r="J52">
        <f>所有指标!U56</f>
        <v>7.2653999999999996</v>
      </c>
      <c r="K52">
        <f>所有指标!AB56-所有指标!AC56</f>
        <v>-735.86000000000013</v>
      </c>
      <c r="L52">
        <f>所有指标!AA56</f>
        <v>2272234</v>
      </c>
      <c r="M52">
        <f>所有指标!U56</f>
        <v>7.2653999999999996</v>
      </c>
    </row>
    <row r="53" spans="1:13">
      <c r="A53" s="7">
        <f>所有指标!A57</f>
        <v>45697</v>
      </c>
      <c r="B53">
        <f>所有指标!W57-所有指标!X57*所有指标!U57/31.1035</f>
        <v>-6.4384921311105927</v>
      </c>
      <c r="C53">
        <f>所有指标!J57</f>
        <v>2.0699999999999998</v>
      </c>
      <c r="D53">
        <f>所有指标!U57</f>
        <v>7.2888999999999999</v>
      </c>
      <c r="E53">
        <f>所有指标!AE57-所有指标!AD57</f>
        <v>97</v>
      </c>
      <c r="F53">
        <f>所有指标!AF57</f>
        <v>817</v>
      </c>
      <c r="G53">
        <f>所有指标!U57</f>
        <v>7.2888999999999999</v>
      </c>
      <c r="H53">
        <f>所有指标!Y57-所有指标!Z57</f>
        <v>-3.6299999999999955</v>
      </c>
      <c r="I53">
        <f>所有指标!V57</f>
        <v>108.1001</v>
      </c>
      <c r="J53">
        <f>所有指标!U57</f>
        <v>7.2888999999999999</v>
      </c>
      <c r="K53">
        <f>所有指标!AB57-所有指标!AC57</f>
        <v>-655</v>
      </c>
      <c r="L53">
        <f>所有指标!AA57</f>
        <v>2121699</v>
      </c>
      <c r="M53">
        <f>所有指标!U57</f>
        <v>7.2888999999999999</v>
      </c>
    </row>
    <row r="54" spans="1:13">
      <c r="A54" s="7">
        <f>所有指标!A58</f>
        <v>45690</v>
      </c>
      <c r="B54">
        <f>所有指标!W58-所有指标!X58*所有指标!U58/31.1035</f>
        <v>-13.82761136206534</v>
      </c>
      <c r="C54">
        <f>所有指标!J58</f>
        <v>2.16</v>
      </c>
      <c r="D54">
        <f>所有指标!U58</f>
        <v>7.2649999999999997</v>
      </c>
      <c r="E54">
        <f>所有指标!AE58-所有指标!AD58</f>
        <v>103</v>
      </c>
      <c r="F54">
        <f>所有指标!AF58</f>
        <v>810.5</v>
      </c>
      <c r="G54">
        <f>所有指标!U58</f>
        <v>7.2649999999999997</v>
      </c>
      <c r="H54">
        <f>所有指标!Y58-所有指标!Z58</f>
        <v>-2.6899999999999977</v>
      </c>
      <c r="I54">
        <f>所有指标!V58</f>
        <v>108.51600000000001</v>
      </c>
      <c r="J54">
        <f>所有指标!U58</f>
        <v>7.2649999999999997</v>
      </c>
      <c r="K54">
        <f>所有指标!AB58-所有指标!AC58</f>
        <v>-428.28999999999996</v>
      </c>
      <c r="L54">
        <f>所有指标!AA58</f>
        <v>2085658</v>
      </c>
      <c r="M54">
        <f>所有指标!U58</f>
        <v>7.2649999999999997</v>
      </c>
    </row>
    <row r="55" spans="1:13">
      <c r="A55" s="7">
        <f>所有指标!A59</f>
        <v>45683</v>
      </c>
      <c r="B55">
        <f>所有指标!W59-所有指标!X59*所有指标!U59/31.1035</f>
        <v>2.2940270387575765</v>
      </c>
      <c r="C55">
        <f>所有指标!J59</f>
        <v>2.2000000000000002</v>
      </c>
      <c r="D55">
        <f>所有指标!U59</f>
        <v>7.2412000000000001</v>
      </c>
      <c r="E55">
        <f>所有指标!AE59-所有指标!AD59</f>
        <v>96</v>
      </c>
      <c r="F55">
        <f>所有指标!AF59</f>
        <v>806.5</v>
      </c>
      <c r="G55">
        <f>所有指标!U59</f>
        <v>7.2412000000000001</v>
      </c>
      <c r="H55">
        <f>所有指标!Y59-所有指标!Z59</f>
        <v>-2.8900000000000006</v>
      </c>
      <c r="I55">
        <f>所有指标!V59</f>
        <v>107.4804</v>
      </c>
      <c r="J55">
        <f>所有指标!U59</f>
        <v>7.2412000000000001</v>
      </c>
      <c r="K55">
        <f>所有指标!AB59-所有指标!AC59</f>
        <v>-410.28999999999996</v>
      </c>
      <c r="L55">
        <f>所有指标!AA59</f>
        <v>2231280</v>
      </c>
      <c r="M55">
        <f>所有指标!U59</f>
        <v>7.2412000000000001</v>
      </c>
    </row>
    <row r="56" spans="1:13">
      <c r="A56" s="7">
        <f>所有指标!A60</f>
        <v>45676</v>
      </c>
      <c r="B56">
        <f>所有指标!W60-所有指标!X60*所有指标!U60/31.1035</f>
        <v>-4.9005938238461795</v>
      </c>
      <c r="C56">
        <f>所有指标!J60</f>
        <v>2.2000000000000002</v>
      </c>
      <c r="D56">
        <f>所有指标!U60</f>
        <v>7.3284000000000002</v>
      </c>
      <c r="E56">
        <f>所有指标!AE60-所有指标!AD60</f>
        <v>112</v>
      </c>
      <c r="F56">
        <f>所有指标!AF60</f>
        <v>803.5</v>
      </c>
      <c r="G56">
        <f>所有指标!U60</f>
        <v>7.3284000000000002</v>
      </c>
      <c r="H56">
        <f>所有指标!Y60-所有指标!Z60</f>
        <v>-3.3599999999999994</v>
      </c>
      <c r="I56">
        <f>所有指标!V60</f>
        <v>109.3792</v>
      </c>
      <c r="J56">
        <f>所有指标!U60</f>
        <v>7.3284000000000002</v>
      </c>
      <c r="K56">
        <f>所有指标!AB60-所有指标!AC60</f>
        <v>-309</v>
      </c>
      <c r="L56">
        <f>所有指标!AA60</f>
        <v>2309560</v>
      </c>
      <c r="M56">
        <f>所有指标!U60</f>
        <v>7.3284000000000002</v>
      </c>
    </row>
    <row r="57" spans="1:13">
      <c r="A57" s="7">
        <f>所有指标!A61</f>
        <v>45669</v>
      </c>
      <c r="B57">
        <f>所有指标!W61-所有指标!X61*所有指标!U61/31.1035</f>
        <v>-5.1626707605253159</v>
      </c>
      <c r="C57">
        <f>所有指标!J61</f>
        <v>2.34</v>
      </c>
      <c r="D57">
        <f>所有指标!U61</f>
        <v>7.3326000000000002</v>
      </c>
      <c r="E57">
        <f>所有指标!AE61-所有指标!AD61</f>
        <v>110</v>
      </c>
      <c r="F57">
        <f>所有指标!AF61</f>
        <v>753.5</v>
      </c>
      <c r="G57">
        <f>所有指标!U61</f>
        <v>7.3326000000000002</v>
      </c>
      <c r="H57">
        <f>所有指标!Y61-所有指标!Z61</f>
        <v>-3.2200000000000131</v>
      </c>
      <c r="I57">
        <f>所有指标!V61</f>
        <v>109.6567</v>
      </c>
      <c r="J57">
        <f>所有指标!U61</f>
        <v>7.3326000000000002</v>
      </c>
      <c r="K57">
        <f>所有指标!AB61-所有指标!AC61</f>
        <v>-295.86000000000013</v>
      </c>
      <c r="L57">
        <f>所有指标!AA61</f>
        <v>2262095</v>
      </c>
      <c r="M57">
        <f>所有指标!U61</f>
        <v>7.3326000000000002</v>
      </c>
    </row>
    <row r="58" spans="1:13">
      <c r="A58" s="7">
        <f>所有指标!A62</f>
        <v>45662</v>
      </c>
      <c r="B58">
        <f>所有指标!W62-所有指标!X62*所有指标!U62/31.1035</f>
        <v>4.5774189399908209</v>
      </c>
      <c r="C58">
        <f>所有指标!J62</f>
        <v>2.2599999999999998</v>
      </c>
      <c r="D58">
        <f>所有指标!U62</f>
        <v>7.3093000000000004</v>
      </c>
      <c r="E58">
        <f>所有指标!AE62-所有指标!AD62</f>
        <v>105</v>
      </c>
      <c r="F58">
        <f>所有指标!AF62</f>
        <v>764</v>
      </c>
      <c r="G58">
        <f>所有指标!U62</f>
        <v>7.3093000000000004</v>
      </c>
      <c r="H58">
        <f>所有指标!Y62-所有指标!Z62</f>
        <v>-2.6200000000000045</v>
      </c>
      <c r="I58">
        <f>所有指标!V62</f>
        <v>108.9212</v>
      </c>
      <c r="J58">
        <f>所有指标!U62</f>
        <v>7.3093000000000004</v>
      </c>
      <c r="K58">
        <f>所有指标!AB62-所有指标!AC62</f>
        <v>-270.28999999999996</v>
      </c>
      <c r="L58">
        <f>所有指标!AA62</f>
        <v>2292291</v>
      </c>
      <c r="M58">
        <f>所有指标!U62</f>
        <v>7.3093000000000004</v>
      </c>
    </row>
    <row r="59" spans="1:13">
      <c r="A59" s="7">
        <f>所有指标!A63</f>
        <v>45655</v>
      </c>
      <c r="B59">
        <f>所有指标!W63-所有指标!X63*所有指标!U63/31.1035</f>
        <v>1.5005375600817388</v>
      </c>
      <c r="C59">
        <f>所有指标!J63</f>
        <v>2.2799999999999998</v>
      </c>
      <c r="D59">
        <f>所有指标!U63</f>
        <v>7.2991999999999999</v>
      </c>
      <c r="E59">
        <f>所有指标!AE63-所有指标!AD63</f>
        <v>132</v>
      </c>
      <c r="F59">
        <f>所有指标!AF63</f>
        <v>759.5</v>
      </c>
      <c r="G59">
        <f>所有指标!U63</f>
        <v>7.2991999999999999</v>
      </c>
      <c r="H59">
        <f>所有指标!Y63-所有指标!Z63</f>
        <v>-3.3599999999999994</v>
      </c>
      <c r="I59">
        <f>所有指标!V63</f>
        <v>108.0151</v>
      </c>
      <c r="J59">
        <f>所有指标!U63</f>
        <v>7.2991999999999999</v>
      </c>
      <c r="K59">
        <f>所有指标!AB63-所有指标!AC63</f>
        <v>-281.42999999999984</v>
      </c>
      <c r="L59">
        <f>所有指标!AA63</f>
        <v>2467545</v>
      </c>
      <c r="M59">
        <f>所有指标!U63</f>
        <v>7.2991999999999999</v>
      </c>
    </row>
    <row r="60" spans="1:13">
      <c r="A60" s="7">
        <f>所有指标!A64</f>
        <v>45648</v>
      </c>
      <c r="B60">
        <f>所有指标!W64-所有指标!X64*所有指标!U64/31.1035</f>
        <v>-5.6587348690660519</v>
      </c>
      <c r="C60">
        <f>所有指标!J64</f>
        <v>2.23</v>
      </c>
      <c r="D60">
        <f>所有指标!U64</f>
        <v>7.2984999999999998</v>
      </c>
      <c r="E60">
        <f>所有指标!AE64-所有指标!AD64</f>
        <v>131</v>
      </c>
      <c r="F60">
        <f>所有指标!AF64</f>
        <v>769</v>
      </c>
      <c r="G60">
        <f>所有指标!U64</f>
        <v>7.2984999999999998</v>
      </c>
      <c r="H60">
        <f>所有指标!Y64-所有指标!Z64</f>
        <v>-3.019999999999996</v>
      </c>
      <c r="I60">
        <f>所有指标!V64</f>
        <v>107.8408</v>
      </c>
      <c r="J60">
        <f>所有指标!U64</f>
        <v>7.2984999999999998</v>
      </c>
      <c r="K60">
        <f>所有指标!AB64-所有指标!AC64</f>
        <v>-261.57000000000016</v>
      </c>
      <c r="L60">
        <f>所有指标!AA64</f>
        <v>2666258</v>
      </c>
      <c r="M60">
        <f>所有指标!U64</f>
        <v>7.2984999999999998</v>
      </c>
    </row>
    <row r="61" spans="1:13">
      <c r="A61" s="7">
        <f>所有指标!A65</f>
        <v>45641</v>
      </c>
      <c r="B61">
        <f>所有指标!W65-所有指标!X65*所有指标!U65/31.1035</f>
        <v>1.6696047068658117</v>
      </c>
      <c r="C61">
        <f>所有指标!J65</f>
        <v>2.0699999999999998</v>
      </c>
      <c r="D61">
        <f>所有指标!U65</f>
        <v>7.2794999999999996</v>
      </c>
      <c r="E61">
        <f>所有指标!AE65-所有指标!AD65</f>
        <v>131</v>
      </c>
      <c r="F61">
        <f>所有指标!AF65</f>
        <v>797</v>
      </c>
      <c r="G61">
        <f>所有指标!U65</f>
        <v>7.2794999999999996</v>
      </c>
      <c r="H61">
        <f>所有指标!Y65-所有指标!Z65</f>
        <v>-3.2599999999999909</v>
      </c>
      <c r="I61">
        <f>所有指标!V65</f>
        <v>106.94280000000001</v>
      </c>
      <c r="J61">
        <f>所有指标!U65</f>
        <v>7.2794999999999996</v>
      </c>
      <c r="K61">
        <f>所有指标!AB65-所有指标!AC65</f>
        <v>-311.13999999999987</v>
      </c>
      <c r="L61">
        <f>所有指标!AA65</f>
        <v>2587746</v>
      </c>
      <c r="M61">
        <f>所有指标!U65</f>
        <v>7.2794999999999996</v>
      </c>
    </row>
    <row r="62" spans="1:13">
      <c r="A62" s="7">
        <f>所有指标!A66</f>
        <v>45634</v>
      </c>
      <c r="B62">
        <f>所有指标!W66-所有指标!X66*所有指标!U66/31.1035</f>
        <v>-3.5978391499348845</v>
      </c>
      <c r="C62">
        <f>所有指标!J66</f>
        <v>1.91</v>
      </c>
      <c r="D62">
        <f>所有指标!U66</f>
        <v>7.2582000000000004</v>
      </c>
      <c r="E62">
        <f>所有指标!AE66-所有指标!AD66</f>
        <v>143</v>
      </c>
      <c r="F62">
        <f>所有指标!AF66</f>
        <v>797.5</v>
      </c>
      <c r="G62">
        <f>所有指标!U66</f>
        <v>7.2582000000000004</v>
      </c>
      <c r="H62">
        <f>所有指标!Y66-所有指标!Z66</f>
        <v>-3.8799999999999955</v>
      </c>
      <c r="I62">
        <f>所有指标!V66</f>
        <v>105.97020000000001</v>
      </c>
      <c r="J62">
        <f>所有指标!U66</f>
        <v>7.2582000000000004</v>
      </c>
      <c r="K62">
        <f>所有指标!AB66-所有指标!AC66</f>
        <v>-271.71000000000004</v>
      </c>
      <c r="L62">
        <f>所有指标!AA66</f>
        <v>2463297</v>
      </c>
      <c r="M62">
        <f>所有指标!U66</f>
        <v>7.2582000000000004</v>
      </c>
    </row>
    <row r="63" spans="1:13">
      <c r="A63" s="7">
        <f>所有指标!A67</f>
        <v>45627</v>
      </c>
      <c r="B63">
        <f>所有指标!W67-所有指标!X67*所有指标!U67/31.1035</f>
        <v>-3.0224148407736493</v>
      </c>
      <c r="C63">
        <f>所有指标!J67</f>
        <v>1.92</v>
      </c>
      <c r="D63">
        <f>所有指标!U67</f>
        <v>7.2332000000000001</v>
      </c>
      <c r="E63">
        <f>所有指标!AE67-所有指标!AD67</f>
        <v>171</v>
      </c>
      <c r="F63">
        <f>所有指标!AF67</f>
        <v>797.5</v>
      </c>
      <c r="G63">
        <f>所有指标!U67</f>
        <v>7.2332000000000001</v>
      </c>
      <c r="H63">
        <f>所有指标!Y67-所有指标!Z67</f>
        <v>-3.9399999999999977</v>
      </c>
      <c r="I63">
        <f>所有指标!V67</f>
        <v>105.7761</v>
      </c>
      <c r="J63">
        <f>所有指标!U67</f>
        <v>7.2332000000000001</v>
      </c>
      <c r="K63">
        <f>所有指标!AB67-所有指标!AC67</f>
        <v>-211.57000000000016</v>
      </c>
      <c r="L63">
        <f>所有指标!AA67</f>
        <v>2114846</v>
      </c>
      <c r="M63">
        <f>所有指标!U67</f>
        <v>7.2332000000000001</v>
      </c>
    </row>
    <row r="64" spans="1:13">
      <c r="A64" s="7">
        <f>所有指标!A68</f>
        <v>45620</v>
      </c>
      <c r="B64">
        <f>所有指标!W68-所有指标!X68*所有指标!U68/31.1035</f>
        <v>-5.2932004436798934</v>
      </c>
      <c r="C64">
        <f>所有指标!J68</f>
        <v>2.0699999999999998</v>
      </c>
      <c r="D64">
        <f>所有指标!U68</f>
        <v>7.2451999999999996</v>
      </c>
      <c r="E64">
        <f>所有指标!AE68-所有指标!AD68</f>
        <v>171</v>
      </c>
      <c r="F64">
        <f>所有指标!AF68</f>
        <v>769</v>
      </c>
      <c r="G64">
        <f>所有指标!U68</f>
        <v>7.2451999999999996</v>
      </c>
      <c r="H64">
        <f>所有指标!Y68-所有指标!Z68</f>
        <v>-4.0999999999999943</v>
      </c>
      <c r="I64">
        <f>所有指标!V68</f>
        <v>107.4911</v>
      </c>
      <c r="J64">
        <f>所有指标!U68</f>
        <v>7.2451999999999996</v>
      </c>
      <c r="K64">
        <f>所有指标!AB68-所有指标!AC68</f>
        <v>-245.86000000000013</v>
      </c>
      <c r="L64">
        <f>所有指标!AA68</f>
        <v>2091800</v>
      </c>
      <c r="M64">
        <f>所有指标!U68</f>
        <v>7.2451999999999996</v>
      </c>
    </row>
    <row r="65" spans="1:13">
      <c r="A65" s="7">
        <f>所有指标!A69</f>
        <v>45613</v>
      </c>
      <c r="B65">
        <f>所有指标!W69-所有指标!X69*所有指标!U69/31.1035</f>
        <v>-3.5739659523848104</v>
      </c>
      <c r="C65">
        <f>所有指标!J69</f>
        <v>2.1</v>
      </c>
      <c r="D65">
        <f>所有指标!U69</f>
        <v>7.2309999999999999</v>
      </c>
      <c r="E65">
        <f>所有指标!AE69-所有指标!AD69</f>
        <v>188</v>
      </c>
      <c r="F65">
        <f>所有指标!AF69</f>
        <v>736</v>
      </c>
      <c r="G65">
        <f>所有指标!U69</f>
        <v>7.2309999999999999</v>
      </c>
      <c r="H65">
        <f>所有指标!Y69-所有指标!Z69</f>
        <v>-4.0999999999999943</v>
      </c>
      <c r="I65">
        <f>所有指标!V69</f>
        <v>106.6842</v>
      </c>
      <c r="J65">
        <f>所有指标!U69</f>
        <v>7.2309999999999999</v>
      </c>
      <c r="K65">
        <f>所有指标!AB69-所有指标!AC69</f>
        <v>-221.13999999999987</v>
      </c>
      <c r="L65">
        <f>所有指标!AA69</f>
        <v>1850270</v>
      </c>
      <c r="M65">
        <f>所有指标!U69</f>
        <v>7.2309999999999999</v>
      </c>
    </row>
    <row r="66" spans="1:13">
      <c r="A66" s="7">
        <f>所有指标!A70</f>
        <v>45606</v>
      </c>
      <c r="B66">
        <f>所有指标!W70-所有指标!X70*所有指标!U70/31.1035</f>
        <v>-4.5625083993761564</v>
      </c>
      <c r="C66">
        <f>所有指标!J70</f>
        <v>1.95</v>
      </c>
      <c r="D66">
        <f>所有指标!U70</f>
        <v>7.1647999999999996</v>
      </c>
      <c r="E66">
        <f>所有指标!AE70-所有指标!AD70</f>
        <v>174</v>
      </c>
      <c r="F66">
        <f>所有指标!AF70</f>
        <v>776</v>
      </c>
      <c r="G66">
        <f>所有指标!U70</f>
        <v>7.1647999999999996</v>
      </c>
      <c r="H66">
        <f>所有指标!Y70-所有指标!Z70</f>
        <v>-3.4699999999999989</v>
      </c>
      <c r="I66">
        <f>所有指标!V70</f>
        <v>104.9521</v>
      </c>
      <c r="J66">
        <f>所有指标!U70</f>
        <v>7.1647999999999996</v>
      </c>
      <c r="K66">
        <f>所有指标!AB70-所有指标!AC70</f>
        <v>-161.86000000000013</v>
      </c>
      <c r="L66">
        <f>所有指标!AA70</f>
        <v>1443959</v>
      </c>
      <c r="M66">
        <f>所有指标!U70</f>
        <v>7.1647999999999996</v>
      </c>
    </row>
    <row r="67" spans="1:13">
      <c r="A67" s="7">
        <f>所有指标!A71</f>
        <v>45599</v>
      </c>
      <c r="B67">
        <f>所有指标!W71-所有指标!X71*所有指标!U71/31.1035</f>
        <v>0.70598228495180138</v>
      </c>
      <c r="C67">
        <f>所有指标!J71</f>
        <v>2.04</v>
      </c>
      <c r="D67">
        <f>所有指标!U71</f>
        <v>7.125</v>
      </c>
      <c r="E67">
        <f>所有指标!AE71-所有指标!AD71</f>
        <v>166</v>
      </c>
      <c r="F67">
        <f>所有指标!AF71</f>
        <v>770.5</v>
      </c>
      <c r="G67">
        <f>所有指标!U71</f>
        <v>7.125</v>
      </c>
      <c r="H67">
        <f>所有指标!Y71-所有指标!Z71</f>
        <v>-3.6099999999999994</v>
      </c>
      <c r="I67">
        <f>所有指标!V71</f>
        <v>104.3228</v>
      </c>
      <c r="J67">
        <f>所有指标!U71</f>
        <v>7.125</v>
      </c>
      <c r="K67">
        <f>所有指标!AB71-所有指标!AC71</f>
        <v>-101.86000000000013</v>
      </c>
      <c r="L67">
        <f>所有指标!AA71</f>
        <v>1613832</v>
      </c>
      <c r="M67">
        <f>所有指标!U71</f>
        <v>7.125</v>
      </c>
    </row>
    <row r="68" spans="1:13">
      <c r="A68" s="7">
        <f>所有指标!A72</f>
        <v>45592</v>
      </c>
      <c r="B68">
        <f>所有指标!W72-所有指标!X72*所有指标!U72/31.1035</f>
        <v>-7.4320574854920096</v>
      </c>
      <c r="C68">
        <f>所有指标!J72</f>
        <v>1.96</v>
      </c>
      <c r="D68">
        <f>所有指标!U72</f>
        <v>7.1219000000000001</v>
      </c>
      <c r="E68">
        <f>所有指标!AE72-所有指标!AD72</f>
        <v>164</v>
      </c>
      <c r="F68">
        <f>所有指标!AF72</f>
        <v>769.5</v>
      </c>
      <c r="G68">
        <f>所有指标!U72</f>
        <v>7.1219000000000001</v>
      </c>
      <c r="H68">
        <f>所有指标!Y72-所有指标!Z72</f>
        <v>-4.210000000000008</v>
      </c>
      <c r="I68">
        <f>所有指标!V72</f>
        <v>104.31529999999999</v>
      </c>
      <c r="J68">
        <f>所有指标!U72</f>
        <v>7.1219000000000001</v>
      </c>
      <c r="K68">
        <f>所有指标!AB72-所有指标!AC72</f>
        <v>-90.289999999999964</v>
      </c>
      <c r="L68">
        <f>所有指标!AA72</f>
        <v>1650157</v>
      </c>
      <c r="M68">
        <f>所有指标!U72</f>
        <v>7.1219000000000001</v>
      </c>
    </row>
    <row r="69" spans="1:13">
      <c r="A69" s="7">
        <f>所有指标!A73</f>
        <v>45585</v>
      </c>
      <c r="B69">
        <f>所有指标!W73-所有指标!X73*所有指标!U73/31.1035</f>
        <v>-5.8863050782066466</v>
      </c>
      <c r="C69">
        <f>所有指标!J73</f>
        <v>1.77</v>
      </c>
      <c r="D69">
        <f>所有指标!U73</f>
        <v>7.1035000000000004</v>
      </c>
      <c r="E69">
        <f>所有指标!AE73-所有指标!AD73</f>
        <v>175</v>
      </c>
      <c r="F69">
        <f>所有指标!AF73</f>
        <v>760.5</v>
      </c>
      <c r="G69">
        <f>所有指标!U73</f>
        <v>7.1035000000000004</v>
      </c>
      <c r="H69">
        <f>所有指标!Y73-所有指标!Z73</f>
        <v>-4.3299999999999983</v>
      </c>
      <c r="I69">
        <f>所有指标!V73</f>
        <v>103.4615</v>
      </c>
      <c r="J69">
        <f>所有指标!U73</f>
        <v>7.1035000000000004</v>
      </c>
      <c r="K69">
        <f>所有指标!AB73-所有指标!AC73</f>
        <v>-60.139999999999873</v>
      </c>
      <c r="L69">
        <f>所有指标!AA73</f>
        <v>1514911</v>
      </c>
      <c r="M69">
        <f>所有指标!U73</f>
        <v>7.1035000000000004</v>
      </c>
    </row>
    <row r="70" spans="1:13">
      <c r="A70" s="7">
        <f>所有指标!A74</f>
        <v>45578</v>
      </c>
      <c r="B70">
        <f>所有指标!W74-所有指标!X74*所有指标!U74/31.1035</f>
        <v>-10.274312858681469</v>
      </c>
      <c r="C70">
        <f>所有指标!J74</f>
        <v>1.75</v>
      </c>
      <c r="D70">
        <f>所有指标!U74</f>
        <v>7.0675999999999997</v>
      </c>
      <c r="E70">
        <f>所有指标!AE74-所有指标!AD74</f>
        <v>131</v>
      </c>
      <c r="F70">
        <f>所有指标!AF74</f>
        <v>789</v>
      </c>
      <c r="G70">
        <f>所有指标!U74</f>
        <v>7.0675999999999997</v>
      </c>
      <c r="H70">
        <f>所有指标!Y74-所有指标!Z74</f>
        <v>-3.3000000000000114</v>
      </c>
      <c r="I70">
        <f>所有指标!V74</f>
        <v>102.9254</v>
      </c>
      <c r="J70">
        <f>所有指标!U74</f>
        <v>7.0675999999999997</v>
      </c>
      <c r="K70">
        <f>所有指标!AB74-所有指标!AC74</f>
        <v>-116.28999999999996</v>
      </c>
      <c r="L70">
        <f>所有指标!AA74</f>
        <v>1554800</v>
      </c>
      <c r="M70">
        <f>所有指标!U74</f>
        <v>7.0675999999999997</v>
      </c>
    </row>
    <row r="71" spans="1:13">
      <c r="A71" s="7">
        <f>所有指标!A75</f>
        <v>45571</v>
      </c>
      <c r="B71">
        <f>所有指标!W75-所有指标!X75*所有指标!U75/31.1035</f>
        <v>-6.2379282074363118</v>
      </c>
      <c r="C71">
        <f>所有指标!J75</f>
        <v>1.75</v>
      </c>
      <c r="D71">
        <f>所有指标!U75</f>
        <v>7.0156000000000001</v>
      </c>
      <c r="E71">
        <f>所有指标!AE75-所有指标!AD75</f>
        <v>92</v>
      </c>
      <c r="F71">
        <f>所有指标!AF75</f>
        <v>821.5</v>
      </c>
      <c r="G71">
        <f>所有指标!U75</f>
        <v>7.0156000000000001</v>
      </c>
      <c r="H71">
        <f>所有指标!Y75-所有指标!Z75</f>
        <v>-3.6899999999999977</v>
      </c>
      <c r="I71">
        <f>所有指标!V75</f>
        <v>102.49299999999999</v>
      </c>
      <c r="J71">
        <f>所有指标!U75</f>
        <v>7.0156000000000001</v>
      </c>
      <c r="K71">
        <f>所有指标!AB75-所有指标!AC75</f>
        <v>-32.860000000000127</v>
      </c>
      <c r="L71">
        <f>所有指标!AA75</f>
        <v>1342957</v>
      </c>
      <c r="M71">
        <f>所有指标!U75</f>
        <v>7.0156000000000001</v>
      </c>
    </row>
    <row r="72" spans="1:13">
      <c r="A72" s="7">
        <f>所有指标!A76</f>
        <v>45564</v>
      </c>
      <c r="B72">
        <f>所有指标!W76-所有指标!X76*所有指标!U76/31.1035</f>
        <v>-5.286634301606</v>
      </c>
      <c r="C72">
        <f>所有指标!J76</f>
        <v>1.6</v>
      </c>
      <c r="D72">
        <f>所有指标!U76</f>
        <v>7.016</v>
      </c>
      <c r="E72">
        <f>所有指标!AE76-所有指标!AD76</f>
        <v>89</v>
      </c>
      <c r="F72">
        <f>所有指标!AF76</f>
        <v>750</v>
      </c>
      <c r="G72">
        <f>所有指标!U76</f>
        <v>7.016</v>
      </c>
      <c r="H72">
        <f>所有指标!Y76-所有指标!Z76</f>
        <v>-3.3400000000000034</v>
      </c>
      <c r="I72">
        <f>所有指标!V76</f>
        <v>100.4199</v>
      </c>
      <c r="J72">
        <f>所有指标!U76</f>
        <v>7.016</v>
      </c>
      <c r="K72">
        <f>所有指标!AB76-所有指标!AC76</f>
        <v>-90.429999999999836</v>
      </c>
      <c r="L72">
        <f>所有指标!AA76</f>
        <v>1283304</v>
      </c>
      <c r="M72">
        <f>所有指标!U76</f>
        <v>7.016</v>
      </c>
    </row>
    <row r="73" spans="1:13">
      <c r="A73" s="7">
        <f>所有指标!A77</f>
        <v>45557</v>
      </c>
      <c r="B73">
        <f>所有指标!W77-所有指标!X77*所有指标!U77/31.1035</f>
        <v>-9.8211053418424399</v>
      </c>
      <c r="C73">
        <f>所有指标!J77</f>
        <v>1.58</v>
      </c>
      <c r="D73">
        <f>所有指标!U77</f>
        <v>7.0552000000000001</v>
      </c>
      <c r="E73">
        <f>所有指标!AE77-所有指标!AD77</f>
        <v>63</v>
      </c>
      <c r="F73">
        <f>所有指标!AF77</f>
        <v>680</v>
      </c>
      <c r="G73">
        <f>所有指标!U77</f>
        <v>7.0552000000000001</v>
      </c>
      <c r="H73">
        <f>所有指标!Y77-所有指标!Z77</f>
        <v>-2.6800000000000068</v>
      </c>
      <c r="I73">
        <f>所有指标!V77</f>
        <v>100.73350000000001</v>
      </c>
      <c r="J73">
        <f>所有指标!U77</f>
        <v>7.0552000000000001</v>
      </c>
      <c r="K73">
        <f>所有指标!AB77-所有指标!AC77</f>
        <v>-71.860000000000127</v>
      </c>
      <c r="L73">
        <f>所有指标!AA77</f>
        <v>1339776</v>
      </c>
      <c r="M73">
        <f>所有指标!U77</f>
        <v>7.0552000000000001</v>
      </c>
    </row>
    <row r="74" spans="1:13">
      <c r="A74" s="7">
        <f>所有指标!A78</f>
        <v>45550</v>
      </c>
      <c r="B74">
        <f>所有指标!W78-所有指标!X78*所有指标!U78/31.1035</f>
        <v>-10.860003858086657</v>
      </c>
      <c r="C74">
        <f>所有指标!J78</f>
        <v>1.58</v>
      </c>
      <c r="D74">
        <f>所有指标!U78</f>
        <v>7.0942999999999996</v>
      </c>
      <c r="E74">
        <f>所有指标!AE78-所有指标!AD78</f>
        <v>55</v>
      </c>
      <c r="F74">
        <f>所有指标!AF78</f>
        <v>694</v>
      </c>
      <c r="G74">
        <f>所有指标!U78</f>
        <v>7.0942999999999996</v>
      </c>
      <c r="H74">
        <f>所有指标!Y78-所有指标!Z78</f>
        <v>-2.2400000000000091</v>
      </c>
      <c r="I74">
        <f>所有指标!V78</f>
        <v>101.111</v>
      </c>
      <c r="J74">
        <f>所有指标!U78</f>
        <v>7.0942999999999996</v>
      </c>
      <c r="K74">
        <f>所有指标!AB78-所有指标!AC78</f>
        <v>-42.139999999999873</v>
      </c>
      <c r="L74">
        <f>所有指标!AA78</f>
        <v>1320196</v>
      </c>
      <c r="M74">
        <f>所有指标!U78</f>
        <v>7.0942999999999996</v>
      </c>
    </row>
    <row r="75" spans="1:13">
      <c r="A75" s="7">
        <f>所有指标!A79</f>
        <v>45543</v>
      </c>
      <c r="B75">
        <f>所有指标!W79-所有指标!X79*所有指标!U79/31.1035</f>
        <v>-2.1543517610558638</v>
      </c>
      <c r="C75">
        <f>所有指标!J79</f>
        <v>1.69</v>
      </c>
      <c r="D75">
        <f>所有指标!U79</f>
        <v>7.0881999999999996</v>
      </c>
      <c r="E75">
        <f>所有指标!AE79-所有指标!AD79</f>
        <v>45</v>
      </c>
      <c r="F75">
        <f>所有指标!AF79</f>
        <v>684</v>
      </c>
      <c r="G75">
        <f>所有指标!U79</f>
        <v>7.0881999999999996</v>
      </c>
      <c r="H75">
        <f>所有指标!Y79-所有指标!Z79</f>
        <v>-3.3100000000000023</v>
      </c>
      <c r="I75">
        <f>所有指标!V79</f>
        <v>101.18300000000001</v>
      </c>
      <c r="J75">
        <f>所有指标!U79</f>
        <v>7.0881999999999996</v>
      </c>
      <c r="K75">
        <f>所有指标!AB79-所有指标!AC79</f>
        <v>-32.570000000000164</v>
      </c>
      <c r="L75">
        <f>所有指标!AA79</f>
        <v>1434570</v>
      </c>
      <c r="M75">
        <f>所有指标!U79</f>
        <v>7.0881999999999996</v>
      </c>
    </row>
    <row r="76" spans="1:13">
      <c r="A76" s="7">
        <f>所有指标!A80</f>
        <v>45536</v>
      </c>
      <c r="B76">
        <f>所有指标!W80-所有指标!X80*所有指标!U80/31.1035</f>
        <v>-3.862793254778353</v>
      </c>
      <c r="C76">
        <f>所有指标!J80</f>
        <v>1.76</v>
      </c>
      <c r="D76">
        <f>所有指标!U80</f>
        <v>7.0880999999999998</v>
      </c>
      <c r="E76">
        <f>所有指标!AE80-所有指标!AD80</f>
        <v>117</v>
      </c>
      <c r="F76">
        <f>所有指标!AF80</f>
        <v>754</v>
      </c>
      <c r="G76">
        <f>所有指标!U80</f>
        <v>7.0880999999999998</v>
      </c>
      <c r="H76">
        <f>所有指标!Y80-所有指标!Z80</f>
        <v>-3.3999999999999915</v>
      </c>
      <c r="I76">
        <f>所有指标!V80</f>
        <v>101.732</v>
      </c>
      <c r="J76">
        <f>所有指标!U80</f>
        <v>7.0880999999999998</v>
      </c>
      <c r="K76">
        <f>所有指标!AB80-所有指标!AC80</f>
        <v>-23.860000000000127</v>
      </c>
      <c r="L76">
        <f>所有指标!AA80</f>
        <v>1561979</v>
      </c>
      <c r="M76">
        <f>所有指标!U80</f>
        <v>7.0880999999999998</v>
      </c>
    </row>
    <row r="77" spans="1:13">
      <c r="A77" s="7">
        <f>所有指标!A81</f>
        <v>45529</v>
      </c>
      <c r="B77">
        <f>所有指标!W81-所有指标!X81*所有指标!U81/31.1035</f>
        <v>-12.22756699406807</v>
      </c>
      <c r="C77">
        <f>所有指标!J81</f>
        <v>1.68</v>
      </c>
      <c r="D77">
        <f>所有指标!U81</f>
        <v>7.1368</v>
      </c>
      <c r="E77">
        <f>所有指标!AE81-所有指标!AD81</f>
        <v>65</v>
      </c>
      <c r="F77">
        <f>所有指标!AF81</f>
        <v>719.5</v>
      </c>
      <c r="G77">
        <f>所有指标!U81</f>
        <v>7.1368</v>
      </c>
      <c r="H77">
        <f>所有指标!Y81-所有指标!Z81</f>
        <v>-3.2600000000000051</v>
      </c>
      <c r="I77">
        <f>所有指标!V81</f>
        <v>100.6824</v>
      </c>
      <c r="J77">
        <f>所有指标!U81</f>
        <v>7.1368</v>
      </c>
      <c r="K77">
        <f>所有指标!AB81-所有指标!AC81</f>
        <v>-32.710000000000036</v>
      </c>
      <c r="L77">
        <f>所有指标!AA81</f>
        <v>1428021</v>
      </c>
      <c r="M77">
        <f>所有指标!U81</f>
        <v>7.1368</v>
      </c>
    </row>
    <row r="78" spans="1:13">
      <c r="A78" s="7">
        <f>所有指标!A82</f>
        <v>45522</v>
      </c>
      <c r="B78">
        <f>所有指标!W82-所有指标!X82*所有指标!U82/31.1035</f>
        <v>-19.048033501052942</v>
      </c>
      <c r="C78">
        <f>所有指标!J82</f>
        <v>1.81</v>
      </c>
      <c r="D78">
        <f>所有指标!U82</f>
        <v>7.1680000000000001</v>
      </c>
      <c r="E78">
        <f>所有指标!AE82-所有指标!AD82</f>
        <v>83</v>
      </c>
      <c r="F78">
        <f>所有指标!AF82</f>
        <v>697</v>
      </c>
      <c r="G78">
        <f>所有指标!U82</f>
        <v>7.1680000000000001</v>
      </c>
      <c r="H78">
        <f>所有指标!Y82-所有指标!Z82</f>
        <v>-4.0900000000000034</v>
      </c>
      <c r="I78">
        <f>所有指标!V82</f>
        <v>102.404</v>
      </c>
      <c r="J78">
        <f>所有指标!U82</f>
        <v>7.1680000000000001</v>
      </c>
      <c r="K78">
        <f>所有指标!AB82-所有指标!AC82</f>
        <v>-18.289999999999964</v>
      </c>
      <c r="L78">
        <f>所有指标!AA82</f>
        <v>1309294</v>
      </c>
      <c r="M78">
        <f>所有指标!U82</f>
        <v>7.1680000000000001</v>
      </c>
    </row>
    <row r="79" spans="1:13">
      <c r="A79" s="7">
        <f>所有指标!A83</f>
        <v>45515</v>
      </c>
      <c r="B79">
        <f>所有指标!W83-所有指标!X83*所有指标!U83/31.1035</f>
        <v>-9.1897796067964919</v>
      </c>
      <c r="C79">
        <f>所有指标!J83</f>
        <v>1.84</v>
      </c>
      <c r="D79">
        <f>所有指标!U83</f>
        <v>7.1745999999999999</v>
      </c>
      <c r="E79">
        <f>所有指标!AE83-所有指标!AD83</f>
        <v>153</v>
      </c>
      <c r="F79">
        <f>所有指标!AF83</f>
        <v>741.5</v>
      </c>
      <c r="G79">
        <f>所有指标!U83</f>
        <v>7.1745999999999999</v>
      </c>
      <c r="H79">
        <f>所有指标!Y83-所有指标!Z83</f>
        <v>-2.4799999999999898</v>
      </c>
      <c r="I79">
        <f>所有指标!V83</f>
        <v>103.15179999999999</v>
      </c>
      <c r="J79">
        <f>所有指标!U83</f>
        <v>7.1745999999999999</v>
      </c>
      <c r="K79">
        <f>所有指标!AB83-所有指标!AC83</f>
        <v>4.1399999999998727</v>
      </c>
      <c r="L79">
        <f>所有指标!AA83</f>
        <v>844205</v>
      </c>
      <c r="M79">
        <f>所有指标!U83</f>
        <v>7.1745999999999999</v>
      </c>
    </row>
    <row r="80" spans="1:13">
      <c r="A80" s="7">
        <f>所有指标!A84</f>
        <v>45508</v>
      </c>
      <c r="B80">
        <f>所有指标!W84-所有指标!X84*所有指标!U84/31.1035</f>
        <v>-2.6543109296380862</v>
      </c>
      <c r="C80">
        <f>所有指标!J84</f>
        <v>1.76</v>
      </c>
      <c r="D80">
        <f>所有指标!U84</f>
        <v>7.2149999999999999</v>
      </c>
      <c r="E80">
        <f>所有指标!AE84-所有指标!AD84</f>
        <v>146</v>
      </c>
      <c r="F80">
        <f>所有指标!AF84</f>
        <v>779</v>
      </c>
      <c r="G80">
        <f>所有指标!U84</f>
        <v>7.2149999999999999</v>
      </c>
      <c r="H80">
        <f>所有指标!Y84-所有指标!Z84</f>
        <v>-3.4200000000000017</v>
      </c>
      <c r="I80">
        <f>所有指标!V84</f>
        <v>103.2295</v>
      </c>
      <c r="J80">
        <f>所有指标!U84</f>
        <v>7.2149999999999999</v>
      </c>
      <c r="K80">
        <f>所有指标!AB84-所有指标!AC84</f>
        <v>37.139999999999873</v>
      </c>
      <c r="L80">
        <f>所有指标!AA84</f>
        <v>1171415</v>
      </c>
      <c r="M80">
        <f>所有指标!U84</f>
        <v>7.2149999999999999</v>
      </c>
    </row>
    <row r="81" spans="1:13">
      <c r="A81" s="7">
        <f>所有指标!A85</f>
        <v>45501</v>
      </c>
      <c r="B81">
        <f>所有指标!W85-所有指标!X85*所有指标!U85/31.1035</f>
        <v>1.0145260179723437</v>
      </c>
      <c r="C81">
        <f>所有指标!J85</f>
        <v>1.93</v>
      </c>
      <c r="D81">
        <f>所有指标!U85</f>
        <v>7.2535999999999996</v>
      </c>
      <c r="E81">
        <f>所有指标!AE85-所有指标!AD85</f>
        <v>186</v>
      </c>
      <c r="F81">
        <f>所有指标!AF85</f>
        <v>779</v>
      </c>
      <c r="G81">
        <f>所有指标!U85</f>
        <v>7.2535999999999996</v>
      </c>
      <c r="H81">
        <f>所有指标!Y85-所有指标!Z85</f>
        <v>-3.4099999999999966</v>
      </c>
      <c r="I81">
        <f>所有指标!V85</f>
        <v>104.3233</v>
      </c>
      <c r="J81">
        <f>所有指标!U85</f>
        <v>7.2535999999999996</v>
      </c>
      <c r="K81">
        <f>所有指标!AB85-所有指标!AC85</f>
        <v>37.570000000000164</v>
      </c>
      <c r="L81">
        <f>所有指标!AA85</f>
        <v>1368353</v>
      </c>
      <c r="M81">
        <f>所有指标!U85</f>
        <v>7.2535999999999996</v>
      </c>
    </row>
    <row r="82" spans="1:13">
      <c r="A82" s="7">
        <f>所有指标!A86</f>
        <v>45494</v>
      </c>
      <c r="B82">
        <f>所有指标!W86-所有指标!X86*所有指标!U86/31.1035</f>
        <v>4.5360371019339709</v>
      </c>
      <c r="C82">
        <f>所有指标!J86</f>
        <v>1.93</v>
      </c>
      <c r="D82">
        <f>所有指标!U86</f>
        <v>7.2671999999999999</v>
      </c>
      <c r="E82">
        <f>所有指标!AE86-所有指标!AD86</f>
        <v>186</v>
      </c>
      <c r="F82">
        <f>所有指标!AF86</f>
        <v>804.5</v>
      </c>
      <c r="G82">
        <f>所有指标!U86</f>
        <v>7.2671999999999999</v>
      </c>
      <c r="H82">
        <f>所有指标!Y86-所有指标!Z86</f>
        <v>-3.960000000000008</v>
      </c>
      <c r="I82">
        <f>所有指标!V86</f>
        <v>104.36539999999999</v>
      </c>
      <c r="J82">
        <f>所有指标!U86</f>
        <v>7.2671999999999999</v>
      </c>
      <c r="K82">
        <f>所有指标!AB86-所有指标!AC86</f>
        <v>43.710000000000036</v>
      </c>
      <c r="L82">
        <f>所有指标!AA86</f>
        <v>1433492</v>
      </c>
      <c r="M82">
        <f>所有指标!U86</f>
        <v>7.2671999999999999</v>
      </c>
    </row>
    <row r="83" spans="1:13">
      <c r="A83" s="7">
        <f>所有指标!A87</f>
        <v>45487</v>
      </c>
      <c r="B83">
        <f>所有指标!W87-所有指标!X87*所有指标!U87/31.1035</f>
        <v>4.7276959184657699</v>
      </c>
      <c r="C83">
        <f>所有指标!J87</f>
        <v>1.94</v>
      </c>
      <c r="D83">
        <f>所有指标!U87</f>
        <v>7.2584999999999997</v>
      </c>
      <c r="E83">
        <f>所有指标!AE87-所有指标!AD87</f>
        <v>186</v>
      </c>
      <c r="F83">
        <f>所有指标!AF87</f>
        <v>827</v>
      </c>
      <c r="G83">
        <f>所有指标!U87</f>
        <v>7.2584999999999997</v>
      </c>
      <c r="H83">
        <f>所有指标!Y87-所有指标!Z87</f>
        <v>-3.0899999999999892</v>
      </c>
      <c r="I83">
        <f>所有指标!V87</f>
        <v>104.0997</v>
      </c>
      <c r="J83">
        <f>所有指标!U87</f>
        <v>7.2584999999999997</v>
      </c>
      <c r="K83">
        <f>所有指标!AB87-所有指标!AC87</f>
        <v>3.1399999999998727</v>
      </c>
      <c r="L83">
        <f>所有指标!AA87</f>
        <v>1568910</v>
      </c>
      <c r="M83">
        <f>所有指标!U87</f>
        <v>7.2584999999999997</v>
      </c>
    </row>
    <row r="84" spans="1:13">
      <c r="A84" s="7">
        <f>所有指标!A88</f>
        <v>45480</v>
      </c>
      <c r="B84">
        <f>所有指标!W88-所有指标!X88*所有指标!U88/31.1035</f>
        <v>-1.0584567653158956</v>
      </c>
      <c r="C84">
        <f>所有指标!J88</f>
        <v>2</v>
      </c>
      <c r="D84">
        <f>所有指标!U88</f>
        <v>7.2674000000000003</v>
      </c>
      <c r="E84">
        <f>所有指标!AE88-所有指标!AD88</f>
        <v>206</v>
      </c>
      <c r="F84">
        <f>所有指标!AF88</f>
        <v>845.5</v>
      </c>
      <c r="G84">
        <f>所有指标!U88</f>
        <v>7.2674000000000003</v>
      </c>
      <c r="H84">
        <f>所有指标!Y88-所有指标!Z88</f>
        <v>-3.4200000000000017</v>
      </c>
      <c r="I84">
        <f>所有指标!V88</f>
        <v>104.8689</v>
      </c>
      <c r="J84">
        <f>所有指标!U88</f>
        <v>7.2674000000000003</v>
      </c>
      <c r="K84">
        <f>所有指标!AB88-所有指标!AC88</f>
        <v>50</v>
      </c>
      <c r="L84">
        <f>所有指标!AA88</f>
        <v>1742879</v>
      </c>
      <c r="M84">
        <f>所有指标!U88</f>
        <v>7.2674000000000003</v>
      </c>
    </row>
    <row r="85" spans="1:13">
      <c r="A85" s="7">
        <f>所有指标!A89</f>
        <v>45473</v>
      </c>
      <c r="B85">
        <f>所有指标!W89-所有指标!X89*所有指标!U89/31.1035</f>
        <v>5.6109637179094989</v>
      </c>
      <c r="C85">
        <f>所有指标!J89</f>
        <v>2.08</v>
      </c>
      <c r="D85">
        <f>所有指标!U89</f>
        <v>7.2659000000000002</v>
      </c>
      <c r="E85">
        <f>所有指标!AE89-所有指标!AD89</f>
        <v>201</v>
      </c>
      <c r="F85">
        <f>所有指标!AF89</f>
        <v>825</v>
      </c>
      <c r="G85">
        <f>所有指标!U89</f>
        <v>7.2659000000000002</v>
      </c>
      <c r="H85">
        <f>所有指标!Y89-所有指标!Z89</f>
        <v>-3.3800000000000097</v>
      </c>
      <c r="I85">
        <f>所有指标!V89</f>
        <v>105.84269999999999</v>
      </c>
      <c r="J85">
        <f>所有指标!U89</f>
        <v>7.2659000000000002</v>
      </c>
      <c r="K85">
        <f>所有指标!AB89-所有指标!AC89</f>
        <v>72.860000000000127</v>
      </c>
      <c r="L85">
        <f>所有指标!AA89</f>
        <v>1780999</v>
      </c>
      <c r="M85">
        <f>所有指标!U89</f>
        <v>7.2659000000000002</v>
      </c>
    </row>
    <row r="86" spans="1:13">
      <c r="A86" s="7">
        <f>所有指标!A90</f>
        <v>45466</v>
      </c>
      <c r="B86">
        <f>所有指标!W90-所有指标!X90*所有指标!U90/31.1035</f>
        <v>14.690178918771267</v>
      </c>
      <c r="C86">
        <f>所有指标!J90</f>
        <v>2.02</v>
      </c>
      <c r="D86">
        <f>所有指标!U90</f>
        <v>7.2613000000000003</v>
      </c>
      <c r="E86">
        <f>所有指标!AE90-所有指标!AD90</f>
        <v>190</v>
      </c>
      <c r="F86">
        <f>所有指标!AF90</f>
        <v>811.5</v>
      </c>
      <c r="G86">
        <f>所有指标!U90</f>
        <v>7.2613000000000003</v>
      </c>
      <c r="H86">
        <f>所有指标!Y90-所有指标!Z90</f>
        <v>-3.5900000000000034</v>
      </c>
      <c r="I86">
        <f>所有指标!V90</f>
        <v>105.82510000000001</v>
      </c>
      <c r="J86">
        <f>所有指标!U90</f>
        <v>7.2613000000000003</v>
      </c>
      <c r="K86">
        <f>所有指标!AB90-所有指标!AC90</f>
        <v>53.139999999999873</v>
      </c>
      <c r="L86">
        <f>所有指标!AA90</f>
        <v>1782029</v>
      </c>
      <c r="M86">
        <f>所有指标!U90</f>
        <v>7.2613000000000003</v>
      </c>
    </row>
    <row r="87" spans="1:13">
      <c r="A87" s="7">
        <f>所有指标!A91</f>
        <v>45459</v>
      </c>
      <c r="B87">
        <f>所有指标!W91-所有指标!X91*所有指标!U91/31.1035</f>
        <v>0.65464658318194324</v>
      </c>
      <c r="C87">
        <f>所有指标!J91</f>
        <v>2.0299999999999998</v>
      </c>
      <c r="D87">
        <f>所有指标!U91</f>
        <v>7.2557</v>
      </c>
      <c r="E87">
        <f>所有指标!AE91-所有指标!AD91</f>
        <v>169</v>
      </c>
      <c r="F87">
        <f>所有指标!AF91</f>
        <v>827.5</v>
      </c>
      <c r="G87">
        <f>所有指标!U91</f>
        <v>7.2557</v>
      </c>
      <c r="H87">
        <f>所有指标!Y91-所有指标!Z91</f>
        <v>-4.6000000000000085</v>
      </c>
      <c r="I87">
        <f>所有指标!V91</f>
        <v>105.52670000000001</v>
      </c>
      <c r="J87">
        <f>所有指标!U91</f>
        <v>7.2557</v>
      </c>
      <c r="K87">
        <f>所有指标!AB91-所有指标!AC91</f>
        <v>72.429999999999836</v>
      </c>
      <c r="L87">
        <f>所有指标!AA91</f>
        <v>1969692</v>
      </c>
      <c r="M87">
        <f>所有指标!U91</f>
        <v>7.2557</v>
      </c>
    </row>
    <row r="88" spans="1:13">
      <c r="A88" s="7">
        <f>所有指标!A92</f>
        <v>45452</v>
      </c>
      <c r="B88">
        <f>所有指标!W92-所有指标!X92*所有指标!U92/31.1035</f>
        <v>24.149217612165785</v>
      </c>
      <c r="C88">
        <f>所有指标!J92</f>
        <v>2.13</v>
      </c>
      <c r="D88">
        <f>所有指标!U92</f>
        <v>7.2426000000000004</v>
      </c>
      <c r="E88">
        <f>所有指标!AE92-所有指标!AD92</f>
        <v>158</v>
      </c>
      <c r="F88">
        <f>所有指标!AF92</f>
        <v>839.5</v>
      </c>
      <c r="G88">
        <f>所有指标!U92</f>
        <v>7.2426000000000004</v>
      </c>
      <c r="H88">
        <f>所有指标!Y92-所有指标!Z92</f>
        <v>-4.0900000000000034</v>
      </c>
      <c r="I88">
        <f>所有指标!V92</f>
        <v>104.9395</v>
      </c>
      <c r="J88">
        <f>所有指标!U92</f>
        <v>7.2426000000000004</v>
      </c>
      <c r="K88">
        <f>所有指标!AB92-所有指标!AC92</f>
        <v>30.289999999999964</v>
      </c>
      <c r="L88">
        <f>所有指标!AA92</f>
        <v>1989566</v>
      </c>
      <c r="M88">
        <f>所有指标!U92</f>
        <v>7.2426000000000004</v>
      </c>
    </row>
    <row r="89" spans="1:13">
      <c r="A89" s="7">
        <f>所有指标!A93</f>
        <v>45445</v>
      </c>
      <c r="B89">
        <f>所有指标!W93-所有指标!X93*所有指标!U93/31.1035</f>
        <v>10.081058723294859</v>
      </c>
      <c r="C89">
        <f>所有指标!J93</f>
        <v>2.16</v>
      </c>
      <c r="D89">
        <f>所有指标!U93</f>
        <v>7.2439999999999998</v>
      </c>
      <c r="E89">
        <f>所有指标!AE93-所有指标!AD93</f>
        <v>127</v>
      </c>
      <c r="F89">
        <f>所有指标!AF93</f>
        <v>865</v>
      </c>
      <c r="G89">
        <f>所有指标!U93</f>
        <v>7.2439999999999998</v>
      </c>
      <c r="H89">
        <f>所有指标!Y93-所有指标!Z93</f>
        <v>-4.1899999999999977</v>
      </c>
      <c r="I89">
        <f>所有指标!V93</f>
        <v>104.6318</v>
      </c>
      <c r="J89">
        <f>所有指标!U93</f>
        <v>7.2439999999999998</v>
      </c>
      <c r="K89">
        <f>所有指标!AB93-所有指标!AC93</f>
        <v>44.710000000000036</v>
      </c>
      <c r="L89">
        <f>所有指标!AA93</f>
        <v>1997370</v>
      </c>
      <c r="M89">
        <f>所有指标!U93</f>
        <v>7.2439999999999998</v>
      </c>
    </row>
    <row r="90" spans="1:13">
      <c r="A90" s="7">
        <f>所有指标!A94</f>
        <v>45438</v>
      </c>
      <c r="B90">
        <f>所有指标!W94-所有指标!X94*所有指标!U94/31.1035</f>
        <v>10.559751796421665</v>
      </c>
      <c r="C90">
        <f>所有指标!J94</f>
        <v>2.14</v>
      </c>
      <c r="D90">
        <f>所有指标!U94</f>
        <v>7.2446999999999999</v>
      </c>
      <c r="E90">
        <f>所有指标!AE94-所有指标!AD94</f>
        <v>115</v>
      </c>
      <c r="F90">
        <f>所有指标!AF94</f>
        <v>908</v>
      </c>
      <c r="G90">
        <f>所有指标!U94</f>
        <v>7.2446999999999999</v>
      </c>
      <c r="H90">
        <f>所有指标!Y94-所有指标!Z94</f>
        <v>-4.0499999999999972</v>
      </c>
      <c r="I90">
        <f>所有指标!V94</f>
        <v>104.74209999999999</v>
      </c>
      <c r="J90">
        <f>所有指标!U94</f>
        <v>7.2446999999999999</v>
      </c>
      <c r="K90">
        <f>所有指标!AB94-所有指标!AC94</f>
        <v>33.860000000000127</v>
      </c>
      <c r="L90">
        <f>所有指标!AA94</f>
        <v>2294023</v>
      </c>
      <c r="M90">
        <f>所有指标!U94</f>
        <v>7.2446999999999999</v>
      </c>
    </row>
    <row r="91" spans="1:13">
      <c r="A91" s="7">
        <f>所有指标!A95</f>
        <v>45431</v>
      </c>
      <c r="B91">
        <f>所有指标!W95-所有指标!X95*所有指标!U95/31.1035</f>
        <v>2.8293873679810986</v>
      </c>
      <c r="C91">
        <f>所有指标!J95</f>
        <v>2.1</v>
      </c>
      <c r="D91">
        <f>所有指标!U95</f>
        <v>7.2241999999999997</v>
      </c>
      <c r="E91">
        <f>所有指标!AE95-所有指标!AD95</f>
        <v>133</v>
      </c>
      <c r="F91">
        <f>所有指标!AF95</f>
        <v>891.5</v>
      </c>
      <c r="G91">
        <f>所有指标!U95</f>
        <v>7.2241999999999997</v>
      </c>
      <c r="H91">
        <f>所有指标!Y95-所有指标!Z95</f>
        <v>-4.480000000000004</v>
      </c>
      <c r="I91">
        <f>所有指标!V95</f>
        <v>104.4932</v>
      </c>
      <c r="J91">
        <f>所有指标!U95</f>
        <v>7.2241999999999997</v>
      </c>
      <c r="K91">
        <f>所有指标!AB95-所有指标!AC95</f>
        <v>78</v>
      </c>
      <c r="L91">
        <f>所有指标!AA95</f>
        <v>2308938</v>
      </c>
      <c r="M91">
        <f>所有指标!U95</f>
        <v>7.2241999999999997</v>
      </c>
    </row>
    <row r="92" spans="1:13">
      <c r="A92" s="7">
        <f>所有指标!A96</f>
        <v>45424</v>
      </c>
      <c r="B92">
        <f>所有指标!W96-所有指标!X96*所有指标!U96/31.1035</f>
        <v>11.625674281029546</v>
      </c>
      <c r="C92">
        <f>所有指标!J96</f>
        <v>2.16</v>
      </c>
      <c r="D92">
        <f>所有指标!U96</f>
        <v>7.2245999999999997</v>
      </c>
      <c r="E92">
        <f>所有指标!AE96-所有指标!AD96</f>
        <v>144</v>
      </c>
      <c r="F92">
        <f>所有指标!AF96</f>
        <v>873.5</v>
      </c>
      <c r="G92">
        <f>所有指标!U96</f>
        <v>7.2245999999999997</v>
      </c>
      <c r="H92">
        <f>所有指标!Y96-所有指标!Z96</f>
        <v>-4.5799999999999983</v>
      </c>
      <c r="I92">
        <f>所有指标!V96</f>
        <v>105.32769999999999</v>
      </c>
      <c r="J92">
        <f>所有指标!U96</f>
        <v>7.2245999999999997</v>
      </c>
      <c r="K92">
        <f>所有指标!AB96-所有指标!AC96</f>
        <v>13.570000000000164</v>
      </c>
      <c r="L92">
        <f>所有指标!AA96</f>
        <v>2262983</v>
      </c>
      <c r="M92">
        <f>所有指标!U96</f>
        <v>7.2245999999999997</v>
      </c>
    </row>
    <row r="93" spans="1:13">
      <c r="A93" s="7">
        <f>所有指标!A97</f>
        <v>45417</v>
      </c>
      <c r="B93">
        <f>所有指标!W97-所有指标!X97*所有指标!U97/31.1035</f>
        <v>11.656343819827384</v>
      </c>
      <c r="C93">
        <f>所有指标!J97</f>
        <v>2.15</v>
      </c>
      <c r="D93">
        <f>所有指标!U97</f>
        <v>7.2416</v>
      </c>
      <c r="E93">
        <f>所有指标!AE97-所有指标!AD97</f>
        <v>148</v>
      </c>
      <c r="F93">
        <f>所有指标!AF97</f>
        <v>874</v>
      </c>
      <c r="G93">
        <f>所有指标!U97</f>
        <v>7.2416</v>
      </c>
      <c r="H93">
        <f>所有指标!Y97-所有指标!Z97</f>
        <v>-4.7900000000000063</v>
      </c>
      <c r="I93">
        <f>所有指标!V97</f>
        <v>105.0851</v>
      </c>
      <c r="J93">
        <f>所有指标!U97</f>
        <v>7.2416</v>
      </c>
      <c r="K93">
        <f>所有指标!AB97-所有指标!AC97</f>
        <v>29.289999999999964</v>
      </c>
      <c r="L93">
        <f>所有指标!AA97</f>
        <v>2095592</v>
      </c>
      <c r="M93">
        <f>所有指标!U97</f>
        <v>7.2416</v>
      </c>
    </row>
    <row r="94" spans="1:13">
      <c r="A94" s="7">
        <f>所有指标!A98</f>
        <v>45410</v>
      </c>
      <c r="B94">
        <f>所有指标!W98-所有指标!X98*所有指标!U98/31.1035</f>
        <v>7.1848039609691341</v>
      </c>
      <c r="C94">
        <f>所有指标!J98</f>
        <v>2.2400000000000002</v>
      </c>
      <c r="D94">
        <f>所有指标!U98</f>
        <v>7.2462999999999997</v>
      </c>
      <c r="E94">
        <f>所有指标!AE98-所有指标!AD98</f>
        <v>148</v>
      </c>
      <c r="F94">
        <f>所有指标!AF98</f>
        <v>884.5</v>
      </c>
      <c r="G94">
        <f>所有指标!U98</f>
        <v>7.2462999999999997</v>
      </c>
      <c r="H94">
        <f>所有指标!Y98-所有指标!Z98</f>
        <v>-4.4000000000000057</v>
      </c>
      <c r="I94">
        <f>所有指标!V98</f>
        <v>106.0902</v>
      </c>
      <c r="J94">
        <f>所有指标!U98</f>
        <v>7.2462999999999997</v>
      </c>
      <c r="K94">
        <f>所有指标!AB98-所有指标!AC98</f>
        <v>14.570000000000164</v>
      </c>
      <c r="L94">
        <f>所有指标!AA98</f>
        <v>2144031</v>
      </c>
      <c r="M94">
        <f>所有指标!U98</f>
        <v>7.2462999999999997</v>
      </c>
    </row>
    <row r="95" spans="1:13">
      <c r="A95" s="7">
        <f>所有指标!A99</f>
        <v>45403</v>
      </c>
      <c r="B95">
        <f>所有指标!W99-所有指标!X99*所有指标!U99/31.1035</f>
        <v>8.0817393540920648</v>
      </c>
      <c r="C95">
        <f>所有指标!J99</f>
        <v>2.21</v>
      </c>
      <c r="D95">
        <f>所有指标!U99</f>
        <v>7.2401</v>
      </c>
      <c r="E95">
        <f>所有指标!AE99-所有指标!AD99</f>
        <v>160</v>
      </c>
      <c r="F95">
        <f>所有指标!AF99</f>
        <v>871</v>
      </c>
      <c r="G95">
        <f>所有指标!U99</f>
        <v>7.2401</v>
      </c>
      <c r="H95">
        <f>所有指标!Y99-所有指标!Z99</f>
        <v>-5.2800000000000011</v>
      </c>
      <c r="I95">
        <f>所有指标!V99</f>
        <v>106.11490000000001</v>
      </c>
      <c r="J95">
        <f>所有指标!U99</f>
        <v>7.2401</v>
      </c>
      <c r="K95">
        <f>所有指标!AB99-所有指标!AC99</f>
        <v>-9.8600000000001273</v>
      </c>
      <c r="L95">
        <f>所有指标!AA99</f>
        <v>1974110</v>
      </c>
      <c r="M95">
        <f>所有指标!U99</f>
        <v>7.2401</v>
      </c>
    </row>
    <row r="96" spans="1:13">
      <c r="A96" s="7">
        <f>所有指标!A100</f>
        <v>45396</v>
      </c>
      <c r="B96">
        <f>所有指标!W100-所有指标!X100*所有指标!U100/31.1035</f>
        <v>21.303044673429099</v>
      </c>
      <c r="C96">
        <f>所有指标!J100</f>
        <v>2.11</v>
      </c>
      <c r="D96">
        <f>所有指标!U100</f>
        <v>7.2374999999999998</v>
      </c>
      <c r="E96">
        <f>所有指标!AE100-所有指标!AD100</f>
        <v>151</v>
      </c>
      <c r="F96">
        <f>所有指标!AF100</f>
        <v>843.5</v>
      </c>
      <c r="G96">
        <f>所有指标!U100</f>
        <v>7.2374999999999998</v>
      </c>
      <c r="H96">
        <f>所有指标!Y100-所有指标!Z100</f>
        <v>-4.7000000000000028</v>
      </c>
      <c r="I96">
        <f>所有指标!V100</f>
        <v>106.0228</v>
      </c>
      <c r="J96">
        <f>所有指标!U100</f>
        <v>7.2374999999999998</v>
      </c>
      <c r="K96">
        <f>所有指标!AB100-所有指标!AC100</f>
        <v>1.8600000000001273</v>
      </c>
      <c r="L96">
        <f>所有指标!AA100</f>
        <v>1910356</v>
      </c>
      <c r="M96">
        <f>所有指标!U100</f>
        <v>7.2374999999999998</v>
      </c>
    </row>
    <row r="97" spans="1:13">
      <c r="A97" s="7">
        <f>所有指标!A101</f>
        <v>45389</v>
      </c>
      <c r="B97">
        <f>所有指标!W101-所有指标!X101*所有指标!U101/31.1035</f>
        <v>-4.9505888404841016</v>
      </c>
      <c r="C97">
        <f>所有指标!J101</f>
        <v>2.02</v>
      </c>
      <c r="D97">
        <f>所有指标!U101</f>
        <v>7.2355999999999998</v>
      </c>
      <c r="E97">
        <f>所有指标!AE101-所有指标!AD101</f>
        <v>196</v>
      </c>
      <c r="F97">
        <f>所有指标!AF101</f>
        <v>749</v>
      </c>
      <c r="G97">
        <f>所有指标!U101</f>
        <v>7.2355999999999998</v>
      </c>
      <c r="H97">
        <f>所有指标!Y101-所有指标!Z101</f>
        <v>-4.1299999999999955</v>
      </c>
      <c r="I97">
        <f>所有指标!V101</f>
        <v>104.2968</v>
      </c>
      <c r="J97">
        <f>所有指标!U101</f>
        <v>7.2355999999999998</v>
      </c>
      <c r="K97">
        <f>所有指标!AB101-所有指标!AC101</f>
        <v>-143</v>
      </c>
      <c r="L97">
        <f>所有指标!AA101</f>
        <v>1648113</v>
      </c>
      <c r="M97">
        <f>所有指标!U101</f>
        <v>7.2355999999999998</v>
      </c>
    </row>
    <row r="98" spans="1:13">
      <c r="A98" s="7">
        <f>所有指标!A102</f>
        <v>45382</v>
      </c>
      <c r="B98">
        <f>所有指标!W102-所有指标!X102*所有指标!U102/31.1035</f>
        <v>7.6653170865014317</v>
      </c>
      <c r="C98">
        <f>所有指标!J102</f>
        <v>1.88</v>
      </c>
      <c r="D98">
        <f>所有指标!U102</f>
        <v>7.2232000000000003</v>
      </c>
      <c r="E98">
        <f>所有指标!AE102-所有指标!AD102</f>
        <v>213</v>
      </c>
      <c r="F98">
        <f>所有指标!AF102</f>
        <v>740</v>
      </c>
      <c r="G98">
        <f>所有指标!U102</f>
        <v>7.2232000000000003</v>
      </c>
      <c r="H98">
        <f>所有指标!Y102-所有指标!Z102</f>
        <v>-3.9599999999999937</v>
      </c>
      <c r="I98">
        <f>所有指标!V102</f>
        <v>104.50700000000001</v>
      </c>
      <c r="J98">
        <f>所有指标!U102</f>
        <v>7.2232000000000003</v>
      </c>
      <c r="K98">
        <f>所有指标!AB102-所有指标!AC102</f>
        <v>-243.86000000000013</v>
      </c>
      <c r="L98">
        <f>所有指标!AA102</f>
        <v>1004475</v>
      </c>
      <c r="M98">
        <f>所有指标!U102</f>
        <v>7.2232000000000003</v>
      </c>
    </row>
    <row r="99" spans="1:13">
      <c r="A99" s="7">
        <f>所有指标!A103</f>
        <v>45375</v>
      </c>
      <c r="B99">
        <f>所有指标!W103-所有指标!X103*所有指标!U103/31.1035</f>
        <v>8.9960850065105546</v>
      </c>
      <c r="C99">
        <f>所有指标!J103</f>
        <v>1.87</v>
      </c>
      <c r="D99">
        <f>所有指标!U103</f>
        <v>7.2282999999999999</v>
      </c>
      <c r="E99">
        <f>所有指标!AE103-所有指标!AD103</f>
        <v>210</v>
      </c>
      <c r="F99">
        <f>所有指标!AF103</f>
        <v>844</v>
      </c>
      <c r="G99">
        <f>所有指标!U103</f>
        <v>7.2282999999999999</v>
      </c>
      <c r="H99">
        <f>所有指标!Y103-所有指标!Z103</f>
        <v>-4.1200000000000045</v>
      </c>
      <c r="I99">
        <f>所有指标!V103</f>
        <v>104.4332</v>
      </c>
      <c r="J99">
        <f>所有指标!U103</f>
        <v>7.2282999999999999</v>
      </c>
      <c r="K99">
        <f>所有指标!AB103-所有指标!AC103</f>
        <v>-348.28999999999996</v>
      </c>
      <c r="L99">
        <f>所有指标!AA103</f>
        <v>1379158</v>
      </c>
      <c r="M99">
        <f>所有指标!U103</f>
        <v>7.2282999999999999</v>
      </c>
    </row>
    <row r="100" spans="1:13">
      <c r="A100" s="7">
        <f>所有指标!A104</f>
        <v>45368</v>
      </c>
      <c r="B100">
        <f>所有指标!W104-所有指标!X104*所有指标!U104/31.1035</f>
        <v>8.5338453871751199</v>
      </c>
      <c r="C100">
        <f>所有指标!J104</f>
        <v>1.99</v>
      </c>
      <c r="D100">
        <f>所有指标!U104</f>
        <v>7.1965000000000003</v>
      </c>
      <c r="E100">
        <f>所有指标!AE104-所有指标!AD104</f>
        <v>202</v>
      </c>
      <c r="F100">
        <f>所有指标!AF104</f>
        <v>781.5</v>
      </c>
      <c r="G100">
        <f>所有指标!U104</f>
        <v>7.1965000000000003</v>
      </c>
      <c r="H100">
        <f>所有指标!Y104-所有指标!Z104</f>
        <v>-4.3499999999999943</v>
      </c>
      <c r="I100">
        <f>所有指标!V104</f>
        <v>103.45310000000001</v>
      </c>
      <c r="J100">
        <f>所有指标!U104</f>
        <v>7.1965000000000003</v>
      </c>
      <c r="K100">
        <f>所有指标!AB104-所有指标!AC104</f>
        <v>-208.57000000000016</v>
      </c>
      <c r="L100">
        <f>所有指标!AA104</f>
        <v>1463153</v>
      </c>
      <c r="M100">
        <f>所有指标!U104</f>
        <v>7.1965000000000003</v>
      </c>
    </row>
    <row r="101" spans="1:13">
      <c r="A101" s="7">
        <f>所有指标!A105</f>
        <v>45361</v>
      </c>
      <c r="B101">
        <f>所有指标!W105-所有指标!X105*所有指标!U105/31.1035</f>
        <v>0.78341087015934363</v>
      </c>
      <c r="C101">
        <f>所有指标!J105</f>
        <v>1.81</v>
      </c>
      <c r="D101">
        <f>所有指标!U105</f>
        <v>7.1917999999999997</v>
      </c>
      <c r="E101">
        <f>所有指标!AE105-所有指标!AD105</f>
        <v>150</v>
      </c>
      <c r="F101">
        <f>所有指标!AF105</f>
        <v>877</v>
      </c>
      <c r="G101">
        <f>所有指标!U105</f>
        <v>7.1917999999999997</v>
      </c>
      <c r="H101">
        <f>所有指标!Y105-所有指标!Z105</f>
        <v>-4.2000000000000028</v>
      </c>
      <c r="I101">
        <f>所有指标!V105</f>
        <v>102.742</v>
      </c>
      <c r="J101">
        <f>所有指标!U105</f>
        <v>7.1917999999999997</v>
      </c>
      <c r="K101">
        <f>所有指标!AB105-所有指标!AC105</f>
        <v>-172.57000000000016</v>
      </c>
      <c r="L101">
        <f>所有指标!AA105</f>
        <v>1604731</v>
      </c>
      <c r="M101">
        <f>所有指标!U105</f>
        <v>7.1917999999999997</v>
      </c>
    </row>
    <row r="102" spans="1:13">
      <c r="A102" s="7">
        <f>所有指标!A106</f>
        <v>45354</v>
      </c>
      <c r="B102">
        <f>所有指标!W106-所有指标!X106*所有指标!U106/31.1035</f>
        <v>-0.2735801437136729</v>
      </c>
      <c r="C102">
        <f>所有指标!J106</f>
        <v>1.87</v>
      </c>
      <c r="D102">
        <f>所有指标!U106</f>
        <v>7.1985000000000001</v>
      </c>
      <c r="E102">
        <f>所有指标!AE106-所有指标!AD106</f>
        <v>122</v>
      </c>
      <c r="F102">
        <f>所有指标!AF106</f>
        <v>871.5</v>
      </c>
      <c r="G102">
        <f>所有指标!U106</f>
        <v>7.1985000000000001</v>
      </c>
      <c r="H102">
        <f>所有指标!Y106-所有指标!Z106</f>
        <v>-3.6499999999999915</v>
      </c>
      <c r="I102">
        <f>所有指标!V106</f>
        <v>103.8849</v>
      </c>
      <c r="J102">
        <f>所有指标!U106</f>
        <v>7.1985000000000001</v>
      </c>
      <c r="K102">
        <f>所有指标!AB106-所有指标!AC106</f>
        <v>-240.86000000000013</v>
      </c>
      <c r="L102">
        <f>所有指标!AA106</f>
        <v>1649188</v>
      </c>
      <c r="M102">
        <f>所有指标!U106</f>
        <v>7.1985000000000001</v>
      </c>
    </row>
    <row r="103" spans="1:13">
      <c r="A103" s="7">
        <f>所有指标!A107</f>
        <v>45347</v>
      </c>
      <c r="B103">
        <f>所有指标!W107-所有指标!X107*所有指标!U107/31.1035</f>
        <v>5.4928107769221697</v>
      </c>
      <c r="C103">
        <f>所有指标!J107</f>
        <v>1.96</v>
      </c>
      <c r="D103">
        <f>所有指标!U107</f>
        <v>7.1984000000000004</v>
      </c>
      <c r="E103">
        <f>所有指标!AE107-所有指标!AD107</f>
        <v>115</v>
      </c>
      <c r="F103">
        <f>所有指标!AF107</f>
        <v>899</v>
      </c>
      <c r="G103">
        <f>所有指标!U107</f>
        <v>7.1984000000000004</v>
      </c>
      <c r="H103">
        <f>所有指标!Y107-所有指标!Z107</f>
        <v>-4.1800000000000068</v>
      </c>
      <c r="I103">
        <f>所有指标!V107</f>
        <v>103.9738</v>
      </c>
      <c r="J103">
        <f>所有指标!U107</f>
        <v>7.1984000000000004</v>
      </c>
      <c r="K103">
        <f>所有指标!AB107-所有指标!AC107</f>
        <v>-393.71000000000004</v>
      </c>
      <c r="L103">
        <f>所有指标!AA107</f>
        <v>1642896</v>
      </c>
      <c r="M103">
        <f>所有指标!U107</f>
        <v>7.1984000000000004</v>
      </c>
    </row>
    <row r="104" spans="1:13">
      <c r="A104" s="7">
        <f>所有指标!A108</f>
        <v>45340</v>
      </c>
      <c r="B104">
        <f>所有指标!W108-所有指标!X108*所有指标!U108/31.1035</f>
        <v>15.142107479865615</v>
      </c>
      <c r="C104">
        <f>所有指标!J108</f>
        <v>1.97</v>
      </c>
      <c r="D104">
        <f>所有指标!U108</f>
        <v>7.1927000000000003</v>
      </c>
      <c r="E104">
        <f>所有指标!AE108-所有指标!AD108</f>
        <v>130</v>
      </c>
      <c r="F104">
        <f>所有指标!AF108</f>
        <v>963.5</v>
      </c>
      <c r="G104">
        <f>所有指标!U108</f>
        <v>7.1927000000000003</v>
      </c>
      <c r="H104">
        <f>所有指标!Y108-所有指标!Z108</f>
        <v>-5.3400000000000034</v>
      </c>
      <c r="I104">
        <f>所有指标!V108</f>
        <v>104.2766</v>
      </c>
      <c r="J104">
        <f>所有指标!U108</f>
        <v>7.1927000000000003</v>
      </c>
      <c r="K104">
        <f>所有指标!AB108-所有指标!AC108</f>
        <v>-439.86000000000013</v>
      </c>
      <c r="L104">
        <f>所有指标!AA108</f>
        <v>1412964</v>
      </c>
      <c r="M104">
        <f>所有指标!U108</f>
        <v>7.1927000000000003</v>
      </c>
    </row>
    <row r="105" spans="1:13">
      <c r="A105" s="7">
        <f>所有指标!A109</f>
        <v>45333</v>
      </c>
      <c r="B105">
        <f>所有指标!W109-所有指标!X109*所有指标!U109/31.1035</f>
        <v>12.089600848779071</v>
      </c>
      <c r="C105">
        <f>所有指标!J109</f>
        <v>1.92</v>
      </c>
      <c r="D105">
        <f>所有指标!U109</f>
        <v>7.1927000000000003</v>
      </c>
      <c r="E105">
        <f>所有指标!AE109-所有指标!AD109</f>
        <v>130</v>
      </c>
      <c r="F105">
        <f>所有指标!AF109</f>
        <v>963.5</v>
      </c>
      <c r="G105">
        <f>所有指标!U109</f>
        <v>7.1927000000000003</v>
      </c>
      <c r="H105">
        <f>所有指标!Y109-所有指标!Z109</f>
        <v>-5.2600000000000051</v>
      </c>
      <c r="I105">
        <f>所有指标!V109</f>
        <v>104.0736</v>
      </c>
      <c r="J105">
        <f>所有指标!U109</f>
        <v>7.1927000000000003</v>
      </c>
      <c r="K105">
        <f>所有指标!AB109-所有指标!AC109</f>
        <v>-447.86000000000013</v>
      </c>
      <c r="L105">
        <f>所有指标!AA109</f>
        <v>1412964</v>
      </c>
      <c r="M105">
        <f>所有指标!U109</f>
        <v>7.1927000000000003</v>
      </c>
    </row>
    <row r="106" spans="1:13">
      <c r="A106" s="7">
        <f>所有指标!A110</f>
        <v>45326</v>
      </c>
      <c r="B106">
        <f>所有指标!W110-所有指标!X110*所有指标!U110/31.1035</f>
        <v>10.000830774671726</v>
      </c>
      <c r="C106">
        <f>所有指标!J110</f>
        <v>1.82</v>
      </c>
      <c r="D106">
        <f>所有指标!U110</f>
        <v>7.1792999999999996</v>
      </c>
      <c r="E106">
        <f>所有指标!AE110-所有指标!AD110</f>
        <v>142</v>
      </c>
      <c r="F106">
        <f>所有指标!AF110</f>
        <v>941</v>
      </c>
      <c r="G106">
        <f>所有指标!U110</f>
        <v>7.1792999999999996</v>
      </c>
      <c r="H106">
        <f>所有指标!Y110-所有指标!Z110</f>
        <v>-5.2600000000000051</v>
      </c>
      <c r="I106">
        <f>所有指标!V110</f>
        <v>103.96550000000001</v>
      </c>
      <c r="J106">
        <f>所有指标!U110</f>
        <v>7.1792999999999996</v>
      </c>
      <c r="K106">
        <f>所有指标!AB110-所有指标!AC110</f>
        <v>-461.86000000000013</v>
      </c>
      <c r="L106">
        <f>所有指标!AA110</f>
        <v>1547703</v>
      </c>
      <c r="M106">
        <f>所有指标!U110</f>
        <v>7.1792999999999996</v>
      </c>
    </row>
    <row r="107" spans="1:13">
      <c r="A107" s="7">
        <f>所有指标!A111</f>
        <v>45319</v>
      </c>
      <c r="B107">
        <f>所有指标!W111-所有指标!X111*所有指标!U111/31.1035</f>
        <v>12.782386548137708</v>
      </c>
      <c r="C107">
        <f>所有指标!J111</f>
        <v>1.85</v>
      </c>
      <c r="D107">
        <f>所有指标!U111</f>
        <v>7.1807999999999996</v>
      </c>
      <c r="E107">
        <f>所有指标!AE111-所有指标!AD111</f>
        <v>129</v>
      </c>
      <c r="F107">
        <f>所有指标!AF111</f>
        <v>989.5</v>
      </c>
      <c r="G107">
        <f>所有指标!U111</f>
        <v>7.1807999999999996</v>
      </c>
      <c r="H107">
        <f>所有指标!Y111-所有指标!Z111</f>
        <v>-4.789999999999992</v>
      </c>
      <c r="I107">
        <f>所有指标!V111</f>
        <v>103.4744</v>
      </c>
      <c r="J107">
        <f>所有指标!U111</f>
        <v>7.1807999999999996</v>
      </c>
      <c r="K107">
        <f>所有指标!AB111-所有指标!AC111</f>
        <v>-479.86000000000013</v>
      </c>
      <c r="L107">
        <f>所有指标!AA111</f>
        <v>1708447</v>
      </c>
      <c r="M107">
        <f>所有指标!U111</f>
        <v>7.1807999999999996</v>
      </c>
    </row>
    <row r="108" spans="1:13">
      <c r="A108" s="7">
        <f>所有指标!A112</f>
        <v>45312</v>
      </c>
      <c r="B108">
        <f>所有指标!W112-所有指标!X112*所有指标!U112/31.1035</f>
        <v>10.433373093060311</v>
      </c>
      <c r="C108">
        <f>所有指标!J112</f>
        <v>1.81</v>
      </c>
      <c r="D108">
        <f>所有指标!U112</f>
        <v>7.1938000000000004</v>
      </c>
      <c r="E108">
        <f>所有指标!AE112-所有指标!AD112</f>
        <v>117</v>
      </c>
      <c r="F108">
        <f>所有指标!AF112</f>
        <v>957</v>
      </c>
      <c r="G108">
        <f>所有指标!U112</f>
        <v>7.1938000000000004</v>
      </c>
      <c r="H108">
        <f>所有指标!Y112-所有指标!Z112</f>
        <v>-5.1999999999999886</v>
      </c>
      <c r="I108">
        <f>所有指标!V112</f>
        <v>103.2317</v>
      </c>
      <c r="J108">
        <f>所有指标!U112</f>
        <v>7.1938000000000004</v>
      </c>
      <c r="K108">
        <f>所有指标!AB112-所有指标!AC112</f>
        <v>-503.86000000000013</v>
      </c>
      <c r="L108">
        <f>所有指标!AA112</f>
        <v>1646722</v>
      </c>
      <c r="M108">
        <f>所有指标!U112</f>
        <v>7.1938000000000004</v>
      </c>
    </row>
    <row r="109" spans="1:13">
      <c r="A109" s="7">
        <f>所有指标!A113</f>
        <v>45305</v>
      </c>
      <c r="B109">
        <f>所有指标!W113-所有指标!X113*所有指标!U113/31.1035</f>
        <v>7.8977224428118689</v>
      </c>
      <c r="C109">
        <f>所有指标!J113</f>
        <v>1.69</v>
      </c>
      <c r="D109">
        <f>所有指标!U113</f>
        <v>7.1622000000000003</v>
      </c>
      <c r="E109">
        <f>所有指标!AE113-所有指标!AD113</f>
        <v>124</v>
      </c>
      <c r="F109">
        <f>所有指标!AF113</f>
        <v>948.5</v>
      </c>
      <c r="G109">
        <f>所有指标!U113</f>
        <v>7.1622000000000003</v>
      </c>
      <c r="H109">
        <f>所有指标!Y113-所有指标!Z113</f>
        <v>-5.5599999999999881</v>
      </c>
      <c r="I109">
        <f>所有指标!V113</f>
        <v>102.44029999999999</v>
      </c>
      <c r="J109">
        <f>所有指标!U113</f>
        <v>7.1622000000000003</v>
      </c>
      <c r="K109">
        <f>所有指标!AB113-所有指标!AC113</f>
        <v>-620.57000000000016</v>
      </c>
      <c r="L109">
        <f>所有指标!AA113</f>
        <v>1591570</v>
      </c>
      <c r="M109">
        <f>所有指标!U113</f>
        <v>7.1622000000000003</v>
      </c>
    </row>
    <row r="110" spans="1:13">
      <c r="A110" s="7">
        <f>所有指标!A114</f>
        <v>45298</v>
      </c>
      <c r="B110">
        <f>所有指标!W114-所有指标!X114*所有指标!U114/31.1035</f>
        <v>10.097550757953286</v>
      </c>
      <c r="C110">
        <f>所有指标!J114</f>
        <v>1.83</v>
      </c>
      <c r="D110">
        <f>所有指标!U114</f>
        <v>7.1566000000000001</v>
      </c>
      <c r="E110">
        <f>所有指标!AE114-所有指标!AD114</f>
        <v>100</v>
      </c>
      <c r="F110">
        <f>所有指标!AF114</f>
        <v>1000</v>
      </c>
      <c r="G110">
        <f>所有指标!U114</f>
        <v>7.1566000000000001</v>
      </c>
      <c r="H110">
        <f>所有指标!Y114-所有指标!Z114</f>
        <v>-4.9500000000000028</v>
      </c>
      <c r="I110">
        <f>所有指标!V114</f>
        <v>102.4395</v>
      </c>
      <c r="J110">
        <f>所有指标!U114</f>
        <v>7.1566000000000001</v>
      </c>
      <c r="K110">
        <f>所有指标!AB114-所有指标!AC114</f>
        <v>-677.86000000000013</v>
      </c>
      <c r="L110">
        <f>所有指标!AA114</f>
        <v>1441603</v>
      </c>
      <c r="M110">
        <f>所有指标!U114</f>
        <v>7.1566000000000001</v>
      </c>
    </row>
    <row r="111" spans="1:13">
      <c r="A111" s="7">
        <f>所有指标!A115</f>
        <v>45291</v>
      </c>
      <c r="B111">
        <f>所有指标!W115-所有指标!X115*所有指标!U115/31.1035</f>
        <v>9.3028228334431446</v>
      </c>
      <c r="C111">
        <f>所有指标!J115</f>
        <v>1.72</v>
      </c>
      <c r="D111">
        <f>所有指标!U115</f>
        <v>7.0919999999999996</v>
      </c>
      <c r="E111">
        <f>所有指标!AE115-所有指标!AD115</f>
        <v>112</v>
      </c>
      <c r="F111">
        <f>所有指标!AF115</f>
        <v>979</v>
      </c>
      <c r="G111">
        <f>所有指标!U115</f>
        <v>7.0919999999999996</v>
      </c>
      <c r="H111">
        <f>所有指标!Y115-所有指标!Z115</f>
        <v>-5.75</v>
      </c>
      <c r="I111">
        <f>所有指标!V115</f>
        <v>101.37779999999999</v>
      </c>
      <c r="J111">
        <f>所有指标!U115</f>
        <v>7.0919999999999996</v>
      </c>
      <c r="K111">
        <f>所有指标!AB115-所有指标!AC115</f>
        <v>-660.71</v>
      </c>
      <c r="L111">
        <f>所有指标!AA115</f>
        <v>1383978</v>
      </c>
      <c r="M111">
        <f>所有指标!U115</f>
        <v>7.0919999999999996</v>
      </c>
    </row>
    <row r="112" spans="1:13">
      <c r="A112" s="7">
        <f>所有指标!A116</f>
        <v>45284</v>
      </c>
      <c r="B112">
        <f>所有指标!W116-所有指标!X116*所有指标!U116/31.1035</f>
        <v>5.6677717941710739</v>
      </c>
      <c r="C112">
        <f>所有指标!J116</f>
        <v>1.71</v>
      </c>
      <c r="D112">
        <f>所有指标!U116</f>
        <v>7.1393000000000004</v>
      </c>
      <c r="E112">
        <f>所有指标!AE116-所有指标!AD116</f>
        <v>116</v>
      </c>
      <c r="F112">
        <f>所有指标!AF116</f>
        <v>977</v>
      </c>
      <c r="G112">
        <f>所有指标!U116</f>
        <v>7.1393000000000004</v>
      </c>
      <c r="H112">
        <f>所有指标!Y116-所有指标!Z116</f>
        <v>-5.4000000000000057</v>
      </c>
      <c r="I112">
        <f>所有指标!V116</f>
        <v>101.70310000000001</v>
      </c>
      <c r="J112">
        <f>所有指标!U116</f>
        <v>7.1393000000000004</v>
      </c>
      <c r="K112">
        <f>所有指标!AB116-所有指标!AC116</f>
        <v>-589.13999999999987</v>
      </c>
      <c r="L112">
        <f>所有指标!AA116</f>
        <v>1395943</v>
      </c>
      <c r="M112">
        <f>所有指标!U116</f>
        <v>7.1393000000000004</v>
      </c>
    </row>
    <row r="113" spans="1:13">
      <c r="A113" s="7">
        <f>所有指标!A117</f>
        <v>45277</v>
      </c>
      <c r="B113">
        <f>所有指标!W117-所有指标!X117*所有指标!U117/31.1035</f>
        <v>11.289213432571898</v>
      </c>
      <c r="C113">
        <f>所有指标!J117</f>
        <v>1.69</v>
      </c>
      <c r="D113">
        <f>所有指标!U117</f>
        <v>7.0987</v>
      </c>
      <c r="E113">
        <f>所有指标!AE117-所有指标!AD117</f>
        <v>118</v>
      </c>
      <c r="F113">
        <f>所有指标!AF117</f>
        <v>935</v>
      </c>
      <c r="G113">
        <f>所有指标!U117</f>
        <v>7.0987</v>
      </c>
      <c r="H113">
        <f>所有指标!Y117-所有指标!Z117</f>
        <v>-5.1599999999999966</v>
      </c>
      <c r="I113">
        <f>所有指标!V117</f>
        <v>102.5936</v>
      </c>
      <c r="J113">
        <f>所有指标!U117</f>
        <v>7.0987</v>
      </c>
      <c r="K113">
        <f>所有指标!AB117-所有指标!AC117</f>
        <v>-605.71</v>
      </c>
      <c r="L113">
        <f>所有指标!AA117</f>
        <v>1322146</v>
      </c>
      <c r="M113">
        <f>所有指标!U117</f>
        <v>7.0987</v>
      </c>
    </row>
    <row r="114" spans="1:13">
      <c r="A114" s="7">
        <f>所有指标!A118</f>
        <v>45270</v>
      </c>
      <c r="B114">
        <f>所有指标!W118-所有指标!X118*所有指标!U118/31.1035</f>
        <v>9.9680306074878899</v>
      </c>
      <c r="C114">
        <f>所有指标!J118</f>
        <v>2.02</v>
      </c>
      <c r="D114">
        <f>所有指标!U118</f>
        <v>7.1607000000000003</v>
      </c>
      <c r="E114">
        <f>所有指标!AE118-所有指标!AD118</f>
        <v>107</v>
      </c>
      <c r="F114">
        <f>所有指标!AF118</f>
        <v>963.5</v>
      </c>
      <c r="G114">
        <f>所有指标!U118</f>
        <v>7.1607000000000003</v>
      </c>
      <c r="H114">
        <f>所有指标!Y118-所有指标!Z118</f>
        <v>-4.3900000000000006</v>
      </c>
      <c r="I114">
        <f>所有指标!V118</f>
        <v>103.998</v>
      </c>
      <c r="J114">
        <f>所有指标!U118</f>
        <v>7.1607000000000003</v>
      </c>
      <c r="K114">
        <f>所有指标!AB118-所有指标!AC118</f>
        <v>-33.429999999999836</v>
      </c>
      <c r="L114">
        <f>所有指标!AA118</f>
        <v>653374</v>
      </c>
      <c r="M114">
        <f>所有指标!U118</f>
        <v>7.1607000000000003</v>
      </c>
    </row>
    <row r="115" spans="1:13">
      <c r="A115" s="7">
        <f>所有指标!A119</f>
        <v>45263</v>
      </c>
      <c r="B115">
        <f>所有指标!W119-所有指标!X119*所有指标!U119/31.1035</f>
        <v>-4.382618354847466</v>
      </c>
      <c r="C115">
        <f>所有指标!J119</f>
        <v>2</v>
      </c>
      <c r="D115">
        <f>所有指标!U119</f>
        <v>7.14</v>
      </c>
      <c r="E115">
        <f>所有指标!AE119-所有指标!AD119</f>
        <v>102</v>
      </c>
      <c r="F115">
        <f>所有指标!AF119</f>
        <v>975.5</v>
      </c>
      <c r="G115">
        <f>所有指标!U119</f>
        <v>7.14</v>
      </c>
      <c r="H115">
        <f>所有指标!Y119-所有指标!Z119</f>
        <v>-5.1800000000000068</v>
      </c>
      <c r="I115">
        <f>所有指标!V119</f>
        <v>103.1952</v>
      </c>
      <c r="J115">
        <f>所有指标!U119</f>
        <v>7.14</v>
      </c>
      <c r="K115">
        <f>所有指标!AB119-所有指标!AC119</f>
        <v>-104.28999999999996</v>
      </c>
      <c r="L115">
        <f>所有指标!AA119</f>
        <v>988141</v>
      </c>
      <c r="M115">
        <f>所有指标!U119</f>
        <v>7.14</v>
      </c>
    </row>
    <row r="116" spans="1:13">
      <c r="A116" s="7">
        <f>所有指标!A120</f>
        <v>45256</v>
      </c>
      <c r="B116">
        <f>所有指标!W120-所有指标!X120*所有指标!U120/31.1035</f>
        <v>5.1073004645779747</v>
      </c>
      <c r="C116">
        <f>所有指标!J120</f>
        <v>2.21</v>
      </c>
      <c r="D116">
        <f>所有指标!U120</f>
        <v>7.1528999999999998</v>
      </c>
      <c r="E116">
        <f>所有指标!AE120-所有指标!AD120</f>
        <v>78</v>
      </c>
      <c r="F116">
        <f>所有指标!AF120</f>
        <v>986.5</v>
      </c>
      <c r="G116">
        <f>所有指标!U120</f>
        <v>7.1528999999999998</v>
      </c>
      <c r="H116">
        <f>所有指标!Y120-所有指标!Z120</f>
        <v>-4.9699999999999989</v>
      </c>
      <c r="I116">
        <f>所有指标!V120</f>
        <v>103.4359</v>
      </c>
      <c r="J116">
        <f>所有指标!U120</f>
        <v>7.1528999999999998</v>
      </c>
      <c r="K116">
        <f>所有指标!AB120-所有指标!AC120</f>
        <v>-132.14000000000033</v>
      </c>
      <c r="L116">
        <f>所有指标!AA120</f>
        <v>1103505</v>
      </c>
      <c r="M116">
        <f>所有指标!U120</f>
        <v>7.1528999999999998</v>
      </c>
    </row>
    <row r="117" spans="1:13">
      <c r="A117" s="7">
        <f>所有指标!A121</f>
        <v>45249</v>
      </c>
      <c r="B117">
        <f>所有指标!W121-所有指标!X121*所有指标!U121/31.1035</f>
        <v>11.323751024804267</v>
      </c>
      <c r="C117">
        <f>所有指标!J121</f>
        <v>2.16</v>
      </c>
      <c r="D117">
        <f>所有指标!U121</f>
        <v>7.2465000000000002</v>
      </c>
      <c r="E117">
        <f>所有指标!AE121-所有指标!AD121</f>
        <v>83</v>
      </c>
      <c r="F117">
        <f>所有指标!AF121</f>
        <v>952</v>
      </c>
      <c r="G117">
        <f>所有指标!U121</f>
        <v>7.2465000000000002</v>
      </c>
      <c r="H117">
        <f>所有指标!Y121-所有指标!Z121</f>
        <v>-4.5400000000000063</v>
      </c>
      <c r="I117">
        <f>所有指标!V121</f>
        <v>103.8218</v>
      </c>
      <c r="J117">
        <f>所有指标!U121</f>
        <v>7.2465000000000002</v>
      </c>
      <c r="K117">
        <f>所有指标!AB121-所有指标!AC121</f>
        <v>-156.28999999999996</v>
      </c>
      <c r="L117">
        <f>所有指标!AA121</f>
        <v>1245175</v>
      </c>
      <c r="M117">
        <f>所有指标!U121</f>
        <v>7.2465000000000002</v>
      </c>
    </row>
    <row r="118" spans="1:13">
      <c r="A118" s="7">
        <f>所有指标!A122</f>
        <v>45242</v>
      </c>
      <c r="B118">
        <f>所有指标!W122-所有指标!X122*所有指标!U122/31.1035</f>
        <v>15.994892536209761</v>
      </c>
      <c r="C118">
        <f>所有指标!J122</f>
        <v>2.29</v>
      </c>
      <c r="D118">
        <f>所有指标!U122</f>
        <v>7.2906000000000004</v>
      </c>
      <c r="E118">
        <f>所有指标!AE122-所有指标!AD122</f>
        <v>106</v>
      </c>
      <c r="F118">
        <f>所有指标!AF122</f>
        <v>961.5</v>
      </c>
      <c r="G118">
        <f>所有指标!U122</f>
        <v>7.2906000000000004</v>
      </c>
      <c r="H118">
        <f>所有指标!Y122-所有指标!Z122</f>
        <v>-4.3500000000000085</v>
      </c>
      <c r="I118">
        <f>所有指标!V122</f>
        <v>105.81019999999999</v>
      </c>
      <c r="J118">
        <f>所有指标!U122</f>
        <v>7.2906000000000004</v>
      </c>
      <c r="K118">
        <f>所有指标!AB122-所有指标!AC122</f>
        <v>-211.71000000000004</v>
      </c>
      <c r="L118">
        <f>所有指标!AA122</f>
        <v>1340955</v>
      </c>
      <c r="M118">
        <f>所有指标!U122</f>
        <v>7.2906000000000004</v>
      </c>
    </row>
    <row r="119" spans="1:13">
      <c r="A119" s="7">
        <f>所有指标!A123</f>
        <v>45235</v>
      </c>
      <c r="B119">
        <f>所有指标!W123-所有指标!X123*所有指标!U123/31.1035</f>
        <v>7.9677537897664479</v>
      </c>
      <c r="C119">
        <f>所有指标!J123</f>
        <v>2.1800000000000002</v>
      </c>
      <c r="D119">
        <f>所有指标!U123</f>
        <v>7.3132999999999999</v>
      </c>
      <c r="E119">
        <f>所有指标!AE123-所有指标!AD123</f>
        <v>94</v>
      </c>
      <c r="F119">
        <f>所有指标!AF123</f>
        <v>924.5</v>
      </c>
      <c r="G119">
        <f>所有指标!U123</f>
        <v>7.3132999999999999</v>
      </c>
      <c r="H119">
        <f>所有指标!Y123-所有指标!Z123</f>
        <v>-4.3400000000000034</v>
      </c>
      <c r="I119">
        <f>所有指标!V123</f>
        <v>105.05410000000001</v>
      </c>
      <c r="J119">
        <f>所有指标!U123</f>
        <v>7.3132999999999999</v>
      </c>
      <c r="K119">
        <f>所有指标!AB123-所有指标!AC123</f>
        <v>-218.71000000000004</v>
      </c>
      <c r="L119">
        <f>所有指标!AA123</f>
        <v>1416407</v>
      </c>
      <c r="M119">
        <f>所有指标!U123</f>
        <v>7.3132999999999999</v>
      </c>
    </row>
    <row r="120" spans="1:13">
      <c r="A120" s="7">
        <f>所有指标!A124</f>
        <v>45228</v>
      </c>
      <c r="B120">
        <f>所有指标!W124-所有指标!X124*所有指标!U124/31.1035</f>
        <v>2.6777324095359063</v>
      </c>
      <c r="C120">
        <f>所有指标!J124</f>
        <v>2.42</v>
      </c>
      <c r="D120">
        <f>所有指标!U124</f>
        <v>7.3166000000000002</v>
      </c>
      <c r="E120">
        <f>所有指标!AE124-所有指标!AD124</f>
        <v>120</v>
      </c>
      <c r="F120">
        <f>所有指标!AF124</f>
        <v>889.5</v>
      </c>
      <c r="G120">
        <f>所有指标!U124</f>
        <v>7.3166000000000002</v>
      </c>
      <c r="H120">
        <f>所有指标!Y124-所有指标!Z124</f>
        <v>-4.0100000000000051</v>
      </c>
      <c r="I120">
        <f>所有指标!V124</f>
        <v>106.57899999999999</v>
      </c>
      <c r="J120">
        <f>所有指标!U124</f>
        <v>7.3166000000000002</v>
      </c>
      <c r="K120">
        <f>所有指标!AB124-所有指标!AC124</f>
        <v>-292.43000000000029</v>
      </c>
      <c r="L120">
        <f>所有指标!AA124</f>
        <v>1396980</v>
      </c>
      <c r="M120">
        <f>所有指标!U124</f>
        <v>7.3166000000000002</v>
      </c>
    </row>
    <row r="121" spans="1:13">
      <c r="A121" s="7">
        <f>所有指标!A125</f>
        <v>45221</v>
      </c>
      <c r="B121">
        <f>所有指标!W125-所有指标!X125*所有指标!U125/31.1035</f>
        <v>7.9376880415387632</v>
      </c>
      <c r="C121">
        <f>所有指标!J125</f>
        <v>2.46</v>
      </c>
      <c r="D121">
        <f>所有指标!U125</f>
        <v>7.3150000000000004</v>
      </c>
      <c r="E121">
        <f>所有指标!AE125-所有指标!AD125</f>
        <v>119</v>
      </c>
      <c r="F121">
        <f>所有指标!AF125</f>
        <v>839</v>
      </c>
      <c r="G121">
        <f>所有指标!U125</f>
        <v>7.3150000000000004</v>
      </c>
      <c r="H121">
        <f>所有指标!Y125-所有指标!Z125</f>
        <v>-4.210000000000008</v>
      </c>
      <c r="I121">
        <f>所有指标!V125</f>
        <v>106.1554</v>
      </c>
      <c r="J121">
        <f>所有指标!U125</f>
        <v>7.3150000000000004</v>
      </c>
      <c r="K121">
        <f>所有指标!AB125-所有指标!AC125</f>
        <v>-441.56999999999971</v>
      </c>
      <c r="L121">
        <f>所有指标!AA125</f>
        <v>1425655</v>
      </c>
      <c r="M121">
        <f>所有指标!U125</f>
        <v>7.3150000000000004</v>
      </c>
    </row>
    <row r="122" spans="1:13">
      <c r="A122" s="7">
        <f>所有指标!A126</f>
        <v>45214</v>
      </c>
      <c r="B122">
        <f>所有指标!W126-所有指标!X126*所有指标!U126/31.1035</f>
        <v>-2.033513270210733</v>
      </c>
      <c r="C122">
        <f>所有指标!J126</f>
        <v>2.29</v>
      </c>
      <c r="D122">
        <f>所有指标!U126</f>
        <v>7.3040000000000003</v>
      </c>
      <c r="E122">
        <f>所有指标!AE126-所有指标!AD126</f>
        <v>107</v>
      </c>
      <c r="F122">
        <f>所有指标!AF126</f>
        <v>842</v>
      </c>
      <c r="G122">
        <f>所有指标!U126</f>
        <v>7.3040000000000003</v>
      </c>
      <c r="H122">
        <f>所有指标!Y126-所有指标!Z126</f>
        <v>-3.0799999999999983</v>
      </c>
      <c r="I122">
        <f>所有指标!V126</f>
        <v>106.6767</v>
      </c>
      <c r="J122">
        <f>所有指标!U126</f>
        <v>7.3040000000000003</v>
      </c>
      <c r="K122">
        <f>所有指标!AB126-所有指标!AC126</f>
        <v>-482.43000000000029</v>
      </c>
      <c r="L122">
        <f>所有指标!AA126</f>
        <v>1440339</v>
      </c>
      <c r="M122">
        <f>所有指标!U126</f>
        <v>7.3040000000000003</v>
      </c>
    </row>
    <row r="123" spans="1:13">
      <c r="A123" s="7">
        <f>所有指标!A127</f>
        <v>45207</v>
      </c>
      <c r="B123">
        <f>所有指标!W127-所有指标!X127*所有指标!U127/31.1035</f>
        <v>25.996715803687721</v>
      </c>
      <c r="C123">
        <f>所有指标!J127</f>
        <v>2.4700000000000002</v>
      </c>
      <c r="D123">
        <f>所有指标!U127</f>
        <v>7.3002000000000002</v>
      </c>
      <c r="E123">
        <f>所有指标!AE127-所有指标!AD127</f>
        <v>105</v>
      </c>
      <c r="F123">
        <f>所有指标!AF127</f>
        <v>852</v>
      </c>
      <c r="G123">
        <f>所有指标!U127</f>
        <v>7.3002000000000002</v>
      </c>
      <c r="H123">
        <f>所有指标!Y127-所有指标!Z127</f>
        <v>-1.6200000000000045</v>
      </c>
      <c r="I123">
        <f>所有指标!V127</f>
        <v>106.1071</v>
      </c>
      <c r="J123">
        <f>所有指标!U127</f>
        <v>7.3002000000000002</v>
      </c>
      <c r="K123">
        <f>所有指标!AB127-所有指标!AC127</f>
        <v>-576</v>
      </c>
      <c r="L123">
        <f>所有指标!AA127</f>
        <v>1566592</v>
      </c>
      <c r="M123">
        <f>所有指标!U127</f>
        <v>7.3002000000000002</v>
      </c>
    </row>
    <row r="124" spans="1:13">
      <c r="A124" s="7">
        <f>所有指标!A128</f>
        <v>45200</v>
      </c>
      <c r="B124">
        <f>所有指标!W128-所有指标!X128*所有指标!U128/31.1035</f>
        <v>21.865877795103472</v>
      </c>
      <c r="C124">
        <f>所有指标!J128</f>
        <v>2.2400000000000002</v>
      </c>
      <c r="D124">
        <f>所有指标!U128</f>
        <v>7.3002000000000002</v>
      </c>
      <c r="E124">
        <f>所有指标!AE128-所有指标!AD128</f>
        <v>105</v>
      </c>
      <c r="F124">
        <f>所有指标!AF128</f>
        <v>852</v>
      </c>
      <c r="G124">
        <f>所有指标!U128</f>
        <v>7.3002000000000002</v>
      </c>
      <c r="H124">
        <f>所有指标!Y128-所有指标!Z128</f>
        <v>-1.3400000000000034</v>
      </c>
      <c r="I124">
        <f>所有指标!V128</f>
        <v>106.1919</v>
      </c>
      <c r="J124">
        <f>所有指标!U128</f>
        <v>7.3002000000000002</v>
      </c>
      <c r="K124">
        <f>所有指标!AB128-所有指标!AC128</f>
        <v>-655.71</v>
      </c>
      <c r="L124">
        <f>所有指标!AA128</f>
        <v>1566592</v>
      </c>
      <c r="M124">
        <f>所有指标!U128</f>
        <v>7.3002000000000002</v>
      </c>
    </row>
    <row r="125" spans="1:13">
      <c r="A125" s="7">
        <f>所有指标!A129</f>
        <v>45193</v>
      </c>
      <c r="B125">
        <f>所有指标!W129-所有指标!X129*所有指标!U129/31.1035</f>
        <v>13.998929380937795</v>
      </c>
      <c r="C125">
        <f>所有指标!J129</f>
        <v>2.0699999999999998</v>
      </c>
      <c r="D125">
        <f>所有指标!U129</f>
        <v>7.3002000000000002</v>
      </c>
      <c r="E125">
        <f>所有指标!AE129-所有指标!AD129</f>
        <v>84</v>
      </c>
      <c r="F125">
        <f>所有指标!AF129</f>
        <v>871.5</v>
      </c>
      <c r="G125">
        <f>所有指标!U129</f>
        <v>7.3002000000000002</v>
      </c>
      <c r="H125">
        <f>所有指标!Y129-所有指标!Z129</f>
        <v>-2.1000000000000085</v>
      </c>
      <c r="I125">
        <f>所有指标!V129</f>
        <v>105.60980000000001</v>
      </c>
      <c r="J125">
        <f>所有指标!U129</f>
        <v>7.3002000000000002</v>
      </c>
      <c r="K125">
        <f>所有指标!AB129-所有指标!AC129</f>
        <v>-706</v>
      </c>
      <c r="L125">
        <f>所有指标!AA129</f>
        <v>1687627</v>
      </c>
      <c r="M125">
        <f>所有指标!U129</f>
        <v>7.3002000000000002</v>
      </c>
    </row>
    <row r="126" spans="1:13">
      <c r="A126" s="7">
        <f>所有指标!A130</f>
        <v>45186</v>
      </c>
      <c r="B126">
        <f>所有指标!W130-所有指标!X130*所有指标!U130/31.1035</f>
        <v>15.020015753854125</v>
      </c>
      <c r="C126">
        <f>所有指标!J130</f>
        <v>1.98</v>
      </c>
      <c r="D126">
        <f>所有指标!U130</f>
        <v>7.2690999999999999</v>
      </c>
      <c r="E126">
        <f>所有指标!AE130-所有指标!AD130</f>
        <v>68</v>
      </c>
      <c r="F126">
        <f>所有指标!AF130</f>
        <v>879</v>
      </c>
      <c r="G126">
        <f>所有指标!U130</f>
        <v>7.2690999999999999</v>
      </c>
      <c r="H126">
        <f>所有指标!Y130-所有指标!Z130</f>
        <v>-3.0699999999999932</v>
      </c>
      <c r="I126">
        <f>所有指标!V130</f>
        <v>105.3359</v>
      </c>
      <c r="J126">
        <f>所有指标!U130</f>
        <v>7.2690999999999999</v>
      </c>
      <c r="K126">
        <f>所有指标!AB130-所有指标!AC130</f>
        <v>-727.71</v>
      </c>
      <c r="L126">
        <f>所有指标!AA130</f>
        <v>1726942</v>
      </c>
      <c r="M126">
        <f>所有指标!U130</f>
        <v>7.2690999999999999</v>
      </c>
    </row>
    <row r="127" spans="1:13">
      <c r="A127" s="7">
        <f>所有指标!A131</f>
        <v>45179</v>
      </c>
      <c r="B127">
        <f>所有指标!W131-所有指标!X131*所有指标!U131/31.1035</f>
        <v>8.3193222627678551</v>
      </c>
      <c r="C127">
        <f>所有指标!J131</f>
        <v>1.93</v>
      </c>
      <c r="D127">
        <f>所有指标!U131</f>
        <v>7.3414999999999999</v>
      </c>
      <c r="E127">
        <f>所有指标!AE131-所有指标!AD131</f>
        <v>92</v>
      </c>
      <c r="F127">
        <f>所有指标!AF131</f>
        <v>827.5</v>
      </c>
      <c r="G127">
        <f>所有指标!U131</f>
        <v>7.3414999999999999</v>
      </c>
      <c r="H127">
        <f>所有指标!Y131-所有指标!Z131</f>
        <v>-3.2099999999999937</v>
      </c>
      <c r="I127">
        <f>所有指标!V131</f>
        <v>105.065</v>
      </c>
      <c r="J127">
        <f>所有指标!U131</f>
        <v>7.3414999999999999</v>
      </c>
      <c r="K127">
        <f>所有指标!AB131-所有指标!AC131</f>
        <v>-818.85999999999967</v>
      </c>
      <c r="L127">
        <f>所有指标!AA131</f>
        <v>1773316</v>
      </c>
      <c r="M127">
        <f>所有指标!U131</f>
        <v>7.3414999999999999</v>
      </c>
    </row>
    <row r="128" spans="1:13">
      <c r="A128" s="7">
        <f>所有指标!A132</f>
        <v>45172</v>
      </c>
      <c r="B128">
        <f>所有指标!W132-所有指标!X132*所有指标!U132/31.1035</f>
        <v>3.3123008664619533</v>
      </c>
      <c r="C128">
        <f>所有指标!J132</f>
        <v>1.92</v>
      </c>
      <c r="D128">
        <f>所有指标!U132</f>
        <v>7.2633000000000001</v>
      </c>
      <c r="E128">
        <f>所有指标!AE132-所有指标!AD132</f>
        <v>157</v>
      </c>
      <c r="F128">
        <f>所有指标!AF132</f>
        <v>845.5</v>
      </c>
      <c r="G128">
        <f>所有指标!U132</f>
        <v>7.2633000000000001</v>
      </c>
      <c r="H128">
        <f>所有指标!Y132-所有指标!Z132</f>
        <v>-2.9399999999999977</v>
      </c>
      <c r="I128">
        <f>所有指标!V132</f>
        <v>104.27549999999999</v>
      </c>
      <c r="J128">
        <f>所有指标!U132</f>
        <v>7.2633000000000001</v>
      </c>
      <c r="K128">
        <f>所有指标!AB132-所有指标!AC132</f>
        <v>-877.29</v>
      </c>
      <c r="L128">
        <f>所有指标!AA132</f>
        <v>1856922</v>
      </c>
      <c r="M128">
        <f>所有指标!U132</f>
        <v>7.2633000000000001</v>
      </c>
    </row>
    <row r="129" spans="1:13">
      <c r="A129" s="7">
        <f>所有指标!A133</f>
        <v>45165</v>
      </c>
      <c r="B129">
        <f>所有指标!W133-所有指标!X133*所有指标!U133/31.1035</f>
        <v>3.1317063996013417</v>
      </c>
      <c r="C129">
        <f>所有指标!J133</f>
        <v>1.92</v>
      </c>
      <c r="D129">
        <f>所有指标!U133</f>
        <v>7.2884000000000002</v>
      </c>
      <c r="E129">
        <f>所有指标!AE133-所有指标!AD133</f>
        <v>201</v>
      </c>
      <c r="F129">
        <f>所有指标!AF133</f>
        <v>827</v>
      </c>
      <c r="G129">
        <f>所有指标!U133</f>
        <v>7.2884000000000002</v>
      </c>
      <c r="H129">
        <f>所有指标!Y133-所有指标!Z133</f>
        <v>-4.25</v>
      </c>
      <c r="I129">
        <f>所有指标!V133</f>
        <v>104.1939</v>
      </c>
      <c r="J129">
        <f>所有指标!U133</f>
        <v>7.2884000000000002</v>
      </c>
      <c r="K129">
        <f>所有指标!AB133-所有指标!AC133</f>
        <v>-893.85999999999967</v>
      </c>
      <c r="L129">
        <f>所有指标!AA133</f>
        <v>1835330</v>
      </c>
      <c r="M129">
        <f>所有指标!U133</f>
        <v>7.2884000000000002</v>
      </c>
    </row>
    <row r="130" spans="1:13">
      <c r="A130" s="7">
        <f>所有指标!A134</f>
        <v>45158</v>
      </c>
      <c r="B130">
        <f>所有指标!W134-所有指标!X134*所有指标!U134/31.1035</f>
        <v>5.4924432941630243</v>
      </c>
      <c r="C130">
        <f>所有指标!J134</f>
        <v>1.94</v>
      </c>
      <c r="D130">
        <f>所有指标!U134</f>
        <v>7.2896000000000001</v>
      </c>
      <c r="E130">
        <f>所有指标!AE134-所有指标!AD134</f>
        <v>205</v>
      </c>
      <c r="F130">
        <f>所有指标!AF134</f>
        <v>771.5</v>
      </c>
      <c r="G130">
        <f>所有指标!U134</f>
        <v>7.2896000000000001</v>
      </c>
      <c r="H130">
        <f>所有指标!Y134-所有指标!Z134</f>
        <v>-4.0999999999999943</v>
      </c>
      <c r="I130">
        <f>所有指标!V134</f>
        <v>103.44329999999999</v>
      </c>
      <c r="J130">
        <f>所有指标!U134</f>
        <v>7.2896000000000001</v>
      </c>
      <c r="K130">
        <f>所有指标!AB134-所有指标!AC134</f>
        <v>-837.43000000000029</v>
      </c>
      <c r="L130">
        <f>所有指标!AA134</f>
        <v>1766131</v>
      </c>
      <c r="M130">
        <f>所有指标!U134</f>
        <v>7.2896000000000001</v>
      </c>
    </row>
    <row r="131" spans="1:13">
      <c r="A131" s="7">
        <f>所有指标!A135</f>
        <v>45151</v>
      </c>
      <c r="B131">
        <f>所有指标!W135-所有指标!X135*所有指标!U135/31.1035</f>
        <v>3.0323487710385848</v>
      </c>
      <c r="C131">
        <f>所有指标!J135</f>
        <v>1.8</v>
      </c>
      <c r="D131">
        <f>所有指标!U135</f>
        <v>7.234</v>
      </c>
      <c r="E131">
        <f>所有指标!AE135-所有指标!AD135</f>
        <v>246</v>
      </c>
      <c r="F131">
        <f>所有指标!AF135</f>
        <v>739</v>
      </c>
      <c r="G131">
        <f>所有指标!U135</f>
        <v>7.234</v>
      </c>
      <c r="H131">
        <f>所有指标!Y135-所有指标!Z135</f>
        <v>-3.6899999999999977</v>
      </c>
      <c r="I131">
        <f>所有指标!V135</f>
        <v>102.877</v>
      </c>
      <c r="J131">
        <f>所有指标!U135</f>
        <v>7.234</v>
      </c>
      <c r="K131">
        <f>所有指标!AB135-所有指标!AC135</f>
        <v>-184.43000000000029</v>
      </c>
      <c r="L131">
        <f>所有指标!AA135</f>
        <v>628233</v>
      </c>
      <c r="M131">
        <f>所有指标!U135</f>
        <v>7.234</v>
      </c>
    </row>
    <row r="132" spans="1:13">
      <c r="A132" s="7">
        <f>所有指标!A136</f>
        <v>45144</v>
      </c>
      <c r="B132">
        <f>所有指标!W136-所有指标!X136*所有指标!U136/31.1035</f>
        <v>-2.264736765958844</v>
      </c>
      <c r="C132">
        <f>所有指标!J136</f>
        <v>1.67</v>
      </c>
      <c r="D132">
        <f>所有指标!U136</f>
        <v>7.1802000000000001</v>
      </c>
      <c r="E132">
        <f>所有指标!AE136-所有指标!AD136</f>
        <v>254</v>
      </c>
      <c r="F132">
        <f>所有指标!AF136</f>
        <v>817.5</v>
      </c>
      <c r="G132">
        <f>所有指标!U136</f>
        <v>7.1802000000000001</v>
      </c>
      <c r="H132">
        <f>所有指标!Y136-所有指标!Z136</f>
        <v>-3.5100000000000051</v>
      </c>
      <c r="I132">
        <f>所有指标!V136</f>
        <v>102.00369999999999</v>
      </c>
      <c r="J132">
        <f>所有指标!U136</f>
        <v>7.1802000000000001</v>
      </c>
      <c r="K132">
        <f>所有指标!AB136-所有指标!AC136</f>
        <v>-173.28999999999996</v>
      </c>
      <c r="L132">
        <f>所有指标!AA136</f>
        <v>883053</v>
      </c>
      <c r="M132">
        <f>所有指标!U136</f>
        <v>7.1802000000000001</v>
      </c>
    </row>
    <row r="133" spans="1:13">
      <c r="A133" s="7">
        <f>所有指标!A137</f>
        <v>45137</v>
      </c>
      <c r="B133">
        <f>所有指标!W137-所有指标!X137*所有指标!U137/31.1035</f>
        <v>5.1024627453502376</v>
      </c>
      <c r="C133">
        <f>所有指标!J137</f>
        <v>1.58</v>
      </c>
      <c r="D133">
        <f>所有指标!U137</f>
        <v>7.1645000000000003</v>
      </c>
      <c r="E133">
        <f>所有指标!AE137-所有指标!AD137</f>
        <v>266</v>
      </c>
      <c r="F133">
        <f>所有指标!AF137</f>
        <v>834.5</v>
      </c>
      <c r="G133">
        <f>所有指标!U137</f>
        <v>7.1645000000000003</v>
      </c>
      <c r="H133">
        <f>所有指标!Y137-所有指标!Z137</f>
        <v>-3.6200000000000045</v>
      </c>
      <c r="I133">
        <f>所有指标!V137</f>
        <v>101.71299999999999</v>
      </c>
      <c r="J133">
        <f>所有指标!U137</f>
        <v>7.1645000000000003</v>
      </c>
      <c r="K133">
        <f>所有指标!AB137-所有指标!AC137</f>
        <v>-217.14000000000033</v>
      </c>
      <c r="L133">
        <f>所有指标!AA137</f>
        <v>1154936</v>
      </c>
      <c r="M133">
        <f>所有指标!U137</f>
        <v>7.1645000000000003</v>
      </c>
    </row>
    <row r="134" spans="1:13">
      <c r="A134" s="7">
        <f>所有指标!A138</f>
        <v>45130</v>
      </c>
      <c r="B134">
        <f>所有指标!W138-所有指标!X138*所有指标!U138/31.1035</f>
        <v>6.0121674409632533</v>
      </c>
      <c r="C134">
        <f>所有指标!J138</f>
        <v>1.49</v>
      </c>
      <c r="D134">
        <f>所有指标!U138</f>
        <v>7.1790000000000003</v>
      </c>
      <c r="E134">
        <f>所有指标!AE138-所有指标!AD138</f>
        <v>110</v>
      </c>
      <c r="F134">
        <f>所有指标!AF138</f>
        <v>846.5</v>
      </c>
      <c r="G134">
        <f>所有指标!U138</f>
        <v>7.1790000000000003</v>
      </c>
      <c r="H134">
        <f>所有指标!Y138-所有指标!Z138</f>
        <v>-4.0600000000000023</v>
      </c>
      <c r="I134">
        <f>所有指标!V138</f>
        <v>101.0857</v>
      </c>
      <c r="J134">
        <f>所有指标!U138</f>
        <v>7.1790000000000003</v>
      </c>
      <c r="K134">
        <f>所有指标!AB138-所有指标!AC138</f>
        <v>-230.28999999999996</v>
      </c>
      <c r="L134">
        <f>所有指标!AA138</f>
        <v>1278911</v>
      </c>
      <c r="M134">
        <f>所有指标!U138</f>
        <v>7.1790000000000003</v>
      </c>
    </row>
    <row r="135" spans="1:13">
      <c r="A135" s="7">
        <f>所有指标!A139</f>
        <v>45123</v>
      </c>
      <c r="B135">
        <f>所有指标!W139-所有指标!X139*所有指标!U139/31.1035</f>
        <v>4.7030639638626326</v>
      </c>
      <c r="C135">
        <f>所有指标!J139</f>
        <v>1.59</v>
      </c>
      <c r="D135">
        <f>所有指标!U139</f>
        <v>7.1325000000000003</v>
      </c>
      <c r="E135">
        <f>所有指标!AE139-所有指标!AD139</f>
        <v>100</v>
      </c>
      <c r="F135">
        <f>所有指标!AF139</f>
        <v>849</v>
      </c>
      <c r="G135">
        <f>所有指标!U139</f>
        <v>7.1325000000000003</v>
      </c>
      <c r="H135">
        <f>所有指标!Y139-所有指标!Z139</f>
        <v>-4.3599999999999994</v>
      </c>
      <c r="I135">
        <f>所有指标!V139</f>
        <v>99.963300000000004</v>
      </c>
      <c r="J135">
        <f>所有指标!U139</f>
        <v>7.1325000000000003</v>
      </c>
      <c r="K135">
        <f>所有指标!AB139-所有指标!AC139</f>
        <v>-303.56999999999971</v>
      </c>
      <c r="L135">
        <f>所有指标!AA139</f>
        <v>1246438</v>
      </c>
      <c r="M135">
        <f>所有指标!U139</f>
        <v>7.1325000000000003</v>
      </c>
    </row>
    <row r="136" spans="1:13">
      <c r="A136" s="7">
        <f>所有指标!A140</f>
        <v>45116</v>
      </c>
      <c r="B136">
        <f>所有指标!W140-所有指标!X140*所有指标!U140/31.1035</f>
        <v>1.8523661324288128</v>
      </c>
      <c r="C136">
        <f>所有指标!J140</f>
        <v>1.79</v>
      </c>
      <c r="D136">
        <f>所有指标!U140</f>
        <v>7.2336</v>
      </c>
      <c r="E136">
        <f>所有指标!AE140-所有指标!AD140</f>
        <v>95</v>
      </c>
      <c r="F136">
        <f>所有指标!AF140</f>
        <v>812.5</v>
      </c>
      <c r="G136">
        <f>所有指标!U140</f>
        <v>7.2336</v>
      </c>
      <c r="H136">
        <f>所有指标!Y140-所有指标!Z140</f>
        <v>-4.5</v>
      </c>
      <c r="I136">
        <f>所有指标!V140</f>
        <v>102.22539999999999</v>
      </c>
      <c r="J136">
        <f>所有指标!U140</f>
        <v>7.2336</v>
      </c>
      <c r="K136">
        <f>所有指标!AB140-所有指标!AC140</f>
        <v>-279.28999999999996</v>
      </c>
      <c r="L136">
        <f>所有指标!AA140</f>
        <v>1301806</v>
      </c>
      <c r="M136">
        <f>所有指标!U140</f>
        <v>7.2336</v>
      </c>
    </row>
    <row r="137" spans="1:13">
      <c r="A137" s="7">
        <f>所有指标!A141</f>
        <v>45109</v>
      </c>
      <c r="B137">
        <f>所有指标!W141-所有指标!X141*所有指标!U141/31.1035</f>
        <v>-1.4999437362354229</v>
      </c>
      <c r="C137">
        <f>所有指标!J141</f>
        <v>1.59</v>
      </c>
      <c r="D137">
        <f>所有指标!U141</f>
        <v>7.2619999999999996</v>
      </c>
      <c r="E137">
        <f>所有指标!AE141-所有指标!AD141</f>
        <v>104</v>
      </c>
      <c r="F137">
        <f>所有指标!AF141</f>
        <v>822.5</v>
      </c>
      <c r="G137">
        <f>所有指标!U141</f>
        <v>7.2619999999999996</v>
      </c>
      <c r="H137">
        <f>所有指标!Y141-所有指标!Z141</f>
        <v>-4.7399999999999949</v>
      </c>
      <c r="I137">
        <f>所有指标!V141</f>
        <v>103.3788</v>
      </c>
      <c r="J137">
        <f>所有指标!U141</f>
        <v>7.2619999999999996</v>
      </c>
      <c r="K137">
        <f>所有指标!AB141-所有指标!AC141</f>
        <v>-281.42999999999984</v>
      </c>
      <c r="L137">
        <f>所有指标!AA141</f>
        <v>1289040</v>
      </c>
      <c r="M137">
        <f>所有指标!U141</f>
        <v>7.2619999999999996</v>
      </c>
    </row>
    <row r="138" spans="1:13">
      <c r="A138" s="7">
        <f>所有指标!A142</f>
        <v>45102</v>
      </c>
      <c r="B138">
        <f>所有指标!W142-所有指标!X142*所有指标!U142/31.1035</f>
        <v>3.3888887102737044</v>
      </c>
      <c r="C138">
        <f>所有指标!J142</f>
        <v>1.53</v>
      </c>
      <c r="D138">
        <f>所有指标!U142</f>
        <v>7.1938000000000004</v>
      </c>
      <c r="E138">
        <f>所有指标!AE142-所有指标!AD142</f>
        <v>100</v>
      </c>
      <c r="F138">
        <f>所有指标!AF142</f>
        <v>797.5</v>
      </c>
      <c r="G138">
        <f>所有指标!U142</f>
        <v>7.1938000000000004</v>
      </c>
      <c r="H138">
        <f>所有指标!Y142-所有指标!Z142</f>
        <v>-5.0499999999999972</v>
      </c>
      <c r="I138">
        <f>所有指标!V142</f>
        <v>102.8817</v>
      </c>
      <c r="J138">
        <f>所有指标!U142</f>
        <v>7.1938000000000004</v>
      </c>
      <c r="K138">
        <f>所有指标!AB142-所有指标!AC142</f>
        <v>-201.86000000000013</v>
      </c>
      <c r="L138">
        <f>所有指标!AA142</f>
        <v>1375204</v>
      </c>
      <c r="M138">
        <f>所有指标!U142</f>
        <v>7.1938000000000004</v>
      </c>
    </row>
    <row r="139" spans="1:13">
      <c r="A139" s="7">
        <f>所有指标!A143</f>
        <v>45095</v>
      </c>
      <c r="B139">
        <f>所有指标!W143-所有指标!X143*所有指标!U143/31.1035</f>
        <v>-0.41638432973780937</v>
      </c>
      <c r="C139">
        <f>所有指标!J143</f>
        <v>1.55</v>
      </c>
      <c r="D139">
        <f>所有指标!U143</f>
        <v>7.1167999999999996</v>
      </c>
      <c r="E139">
        <f>所有指标!AE143-所有指标!AD143</f>
        <v>100</v>
      </c>
      <c r="F139">
        <f>所有指标!AF143</f>
        <v>815</v>
      </c>
      <c r="G139">
        <f>所有指标!U143</f>
        <v>7.1167999999999996</v>
      </c>
      <c r="H139">
        <f>所有指标!Y143-所有指标!Z143</f>
        <v>-4.5799999999999983</v>
      </c>
      <c r="I139">
        <f>所有指标!V143</f>
        <v>102.31529999999999</v>
      </c>
      <c r="J139">
        <f>所有指标!U143</f>
        <v>7.1167999999999996</v>
      </c>
      <c r="K139">
        <f>所有指标!AB143-所有指标!AC143</f>
        <v>-335.86000000000013</v>
      </c>
      <c r="L139">
        <f>所有指标!AA143</f>
        <v>1343634</v>
      </c>
      <c r="M139">
        <f>所有指标!U143</f>
        <v>7.1167999999999996</v>
      </c>
    </row>
    <row r="140" spans="1:13">
      <c r="A140" s="7">
        <f>所有指标!A144</f>
        <v>45088</v>
      </c>
      <c r="B140">
        <f>所有指标!W144-所有指标!X144*所有指标!U144/31.1035</f>
        <v>-0.18413297538864981</v>
      </c>
      <c r="C140">
        <f>所有指标!J144</f>
        <v>1.55</v>
      </c>
      <c r="D140">
        <f>所有指标!U144</f>
        <v>7.1241000000000003</v>
      </c>
      <c r="E140">
        <f>所有指标!AE144-所有指标!AD144</f>
        <v>112</v>
      </c>
      <c r="F140">
        <f>所有指标!AF144</f>
        <v>812</v>
      </c>
      <c r="G140">
        <f>所有指标!U144</f>
        <v>7.1241000000000003</v>
      </c>
      <c r="H140">
        <f>所有指标!Y144-所有指标!Z144</f>
        <v>-4.6900000000000119</v>
      </c>
      <c r="I140">
        <f>所有指标!V144</f>
        <v>103.5562</v>
      </c>
      <c r="J140">
        <f>所有指标!U144</f>
        <v>7.1241000000000003</v>
      </c>
      <c r="K140">
        <f>所有指标!AB144-所有指标!AC144</f>
        <v>-370.86000000000013</v>
      </c>
      <c r="L140">
        <f>所有指标!AA144</f>
        <v>1197527</v>
      </c>
      <c r="M140">
        <f>所有指标!U144</f>
        <v>7.1241000000000003</v>
      </c>
    </row>
    <row r="141" spans="1:13">
      <c r="A141" s="7">
        <f>所有指标!A145</f>
        <v>45081</v>
      </c>
      <c r="B141">
        <f>所有指标!W145-所有指标!X145*所有指标!U145/31.1035</f>
        <v>5.4878245213561172</v>
      </c>
      <c r="C141">
        <f>所有指标!J145</f>
        <v>1.51</v>
      </c>
      <c r="D141">
        <f>所有指标!U145</f>
        <v>7.0750000000000002</v>
      </c>
      <c r="E141">
        <f>所有指标!AE145-所有指标!AD145</f>
        <v>126</v>
      </c>
      <c r="F141">
        <f>所有指标!AF145</f>
        <v>745.5</v>
      </c>
      <c r="G141">
        <f>所有指标!U145</f>
        <v>7.0750000000000002</v>
      </c>
      <c r="H141">
        <f>所有指标!Y145-所有指标!Z145</f>
        <v>-4.5300000000000011</v>
      </c>
      <c r="I141">
        <f>所有指标!V145</f>
        <v>104.04600000000001</v>
      </c>
      <c r="J141">
        <f>所有指标!U145</f>
        <v>7.0750000000000002</v>
      </c>
      <c r="K141">
        <f>所有指标!AB145-所有指标!AC145</f>
        <v>-428.86000000000013</v>
      </c>
      <c r="L141">
        <f>所有指标!AA145</f>
        <v>1286005</v>
      </c>
      <c r="M141">
        <f>所有指标!U145</f>
        <v>7.0750000000000002</v>
      </c>
    </row>
    <row r="142" spans="1:13">
      <c r="A142" s="7">
        <f>所有指标!A146</f>
        <v>45074</v>
      </c>
      <c r="B142">
        <f>所有指标!W146-所有指标!X146*所有指标!U146/31.1035</f>
        <v>4.0978532962528789</v>
      </c>
      <c r="C142">
        <f>所有指标!J146</f>
        <v>1.57</v>
      </c>
      <c r="D142">
        <f>所有指标!U146</f>
        <v>7.0547000000000004</v>
      </c>
      <c r="E142">
        <f>所有指标!AE146-所有指标!AD146</f>
        <v>113</v>
      </c>
      <c r="F142">
        <f>所有指标!AF146</f>
        <v>709.5</v>
      </c>
      <c r="G142">
        <f>所有指标!U146</f>
        <v>7.0547000000000004</v>
      </c>
      <c r="H142">
        <f>所有指标!Y146-所有指标!Z146</f>
        <v>-4.2999999999999972</v>
      </c>
      <c r="I142">
        <f>所有指标!V146</f>
        <v>104.21339999999999</v>
      </c>
      <c r="J142">
        <f>所有指标!U146</f>
        <v>7.0547000000000004</v>
      </c>
      <c r="K142">
        <f>所有指标!AB146-所有指标!AC146</f>
        <v>-576.42999999999984</v>
      </c>
      <c r="L142">
        <f>所有指标!AA146</f>
        <v>1366302</v>
      </c>
      <c r="M142">
        <f>所有指标!U146</f>
        <v>7.0547000000000004</v>
      </c>
    </row>
    <row r="143" spans="1:13">
      <c r="A143" s="7">
        <f>所有指标!A147</f>
        <v>45067</v>
      </c>
      <c r="B143">
        <f>所有指标!W147-所有指标!X147*所有指标!U147/31.1035</f>
        <v>0.53759287539986644</v>
      </c>
      <c r="C143">
        <f>所有指标!J147</f>
        <v>1.46</v>
      </c>
      <c r="D143">
        <f>所有指标!U147</f>
        <v>7.0235000000000003</v>
      </c>
      <c r="E143">
        <f>所有指标!AE147-所有指标!AD147</f>
        <v>77</v>
      </c>
      <c r="F143">
        <f>所有指标!AF147</f>
        <v>736</v>
      </c>
      <c r="G143">
        <f>所有指标!U147</f>
        <v>7.0235000000000003</v>
      </c>
      <c r="H143">
        <f>所有指标!Y147-所有指标!Z147</f>
        <v>-3.6899999999999977</v>
      </c>
      <c r="I143">
        <f>所有指标!V147</f>
        <v>103.1921</v>
      </c>
      <c r="J143">
        <f>所有指标!U147</f>
        <v>7.0235000000000003</v>
      </c>
      <c r="K143">
        <f>所有指标!AB147-所有指标!AC147</f>
        <v>-868.43000000000029</v>
      </c>
      <c r="L143">
        <f>所有指标!AA147</f>
        <v>1416910</v>
      </c>
      <c r="M143">
        <f>所有指标!U147</f>
        <v>7.0235000000000003</v>
      </c>
    </row>
    <row r="144" spans="1:13">
      <c r="A144" s="7">
        <f>所有指标!A148</f>
        <v>45060</v>
      </c>
      <c r="B144">
        <f>所有指标!W148-所有指标!X148*所有指标!U148/31.1035</f>
        <v>1.0802928930827989</v>
      </c>
      <c r="C144">
        <f>所有指标!J148</f>
        <v>1.28</v>
      </c>
      <c r="D144">
        <f>所有指标!U148</f>
        <v>6.9505999999999997</v>
      </c>
      <c r="E144">
        <f>所有指标!AE148-所有指标!AD148</f>
        <v>63</v>
      </c>
      <c r="F144">
        <f>所有指标!AF148</f>
        <v>697</v>
      </c>
      <c r="G144">
        <f>所有指标!U148</f>
        <v>6.9505999999999997</v>
      </c>
      <c r="H144">
        <f>所有指标!Y148-所有指标!Z148</f>
        <v>-4.0799999999999983</v>
      </c>
      <c r="I144">
        <f>所有指标!V148</f>
        <v>102.70399999999999</v>
      </c>
      <c r="J144">
        <f>所有指标!U148</f>
        <v>6.9505999999999997</v>
      </c>
      <c r="K144">
        <f>所有指标!AB148-所有指标!AC148</f>
        <v>-854.43000000000029</v>
      </c>
      <c r="L144">
        <f>所有指标!AA148</f>
        <v>1518335</v>
      </c>
      <c r="M144">
        <f>所有指标!U148</f>
        <v>6.9505999999999997</v>
      </c>
    </row>
    <row r="145" spans="1:13">
      <c r="A145" s="7">
        <f>所有指标!A149</f>
        <v>45053</v>
      </c>
      <c r="B145">
        <f>所有指标!W149-所有指标!X149*所有指标!U149/31.1035</f>
        <v>7.9740498657706667</v>
      </c>
      <c r="C145">
        <f>所有指标!J149</f>
        <v>1.23</v>
      </c>
      <c r="D145">
        <f>所有指标!U149</f>
        <v>6.9114000000000004</v>
      </c>
      <c r="E145">
        <f>所有指标!AE149-所有指标!AD149</f>
        <v>54</v>
      </c>
      <c r="F145">
        <f>所有指标!AF149</f>
        <v>697.5</v>
      </c>
      <c r="G145">
        <f>所有指标!U149</f>
        <v>6.9114000000000004</v>
      </c>
      <c r="H145">
        <f>所有指标!Y149-所有指标!Z149</f>
        <v>-4.0500000000000114</v>
      </c>
      <c r="I145">
        <f>所有指标!V149</f>
        <v>101.29040000000001</v>
      </c>
      <c r="J145">
        <f>所有指标!U149</f>
        <v>6.9114000000000004</v>
      </c>
      <c r="K145">
        <f>所有指标!AB149-所有指标!AC149</f>
        <v>-860.29</v>
      </c>
      <c r="L145">
        <f>所有指标!AA149</f>
        <v>1455345</v>
      </c>
      <c r="M145">
        <f>所有指标!U149</f>
        <v>6.9114000000000004</v>
      </c>
    </row>
    <row r="146" spans="1:13">
      <c r="A146" s="7">
        <f>所有指标!A150</f>
        <v>45046</v>
      </c>
      <c r="B146">
        <f>所有指标!W150-所有指标!X150*所有指标!U150/31.1035</f>
        <v>-1.3324809105084796</v>
      </c>
      <c r="C146">
        <f>所有指标!J150</f>
        <v>1.26</v>
      </c>
      <c r="D146">
        <f>所有指标!U150</f>
        <v>6.9283999999999999</v>
      </c>
      <c r="E146">
        <f>所有指标!AE150-所有指标!AD150</f>
        <v>61</v>
      </c>
      <c r="F146">
        <f>所有指标!AF150</f>
        <v>714</v>
      </c>
      <c r="G146">
        <f>所有指标!U150</f>
        <v>6.9283999999999999</v>
      </c>
      <c r="H146">
        <f>所有指标!Y150-所有指标!Z150</f>
        <v>-3.6300000000000097</v>
      </c>
      <c r="I146">
        <f>所有指标!V150</f>
        <v>101.6645</v>
      </c>
      <c r="J146">
        <f>所有指标!U150</f>
        <v>6.9283999999999999</v>
      </c>
      <c r="K146">
        <f>所有指标!AB150-所有指标!AC150</f>
        <v>-835.56999999999971</v>
      </c>
      <c r="L146">
        <f>所有指标!AA150</f>
        <v>1416693</v>
      </c>
      <c r="M146">
        <f>所有指标!U150</f>
        <v>6.9283999999999999</v>
      </c>
    </row>
    <row r="147" spans="1:13">
      <c r="A147" s="7">
        <f>所有指标!A151</f>
        <v>45039</v>
      </c>
      <c r="B147">
        <f>所有指标!W151-所有指标!X151*所有指标!U151/31.1035</f>
        <v>0.78282411947208175</v>
      </c>
      <c r="C147">
        <f>所有指标!J151</f>
        <v>1.29</v>
      </c>
      <c r="D147">
        <f>所有指标!U151</f>
        <v>6.8898000000000001</v>
      </c>
      <c r="E147">
        <f>所有指标!AE151-所有指标!AD151</f>
        <v>73</v>
      </c>
      <c r="F147">
        <f>所有指标!AF151</f>
        <v>730.5</v>
      </c>
      <c r="G147">
        <f>所有指标!U151</f>
        <v>6.8898000000000001</v>
      </c>
      <c r="H147">
        <f>所有指标!Y151-所有指标!Z151</f>
        <v>-3.7999999999999972</v>
      </c>
      <c r="I147">
        <f>所有指标!V151</f>
        <v>101.7201</v>
      </c>
      <c r="J147">
        <f>所有指标!U151</f>
        <v>6.8898000000000001</v>
      </c>
      <c r="K147">
        <f>所有指标!AB151-所有指标!AC151</f>
        <v>-830.43000000000029</v>
      </c>
      <c r="L147">
        <f>所有指标!AA151</f>
        <v>1380471</v>
      </c>
      <c r="M147">
        <f>所有指标!U151</f>
        <v>6.8898000000000001</v>
      </c>
    </row>
    <row r="148" spans="1:13">
      <c r="A148" s="7">
        <f>所有指标!A152</f>
        <v>45032</v>
      </c>
      <c r="B148">
        <f>所有指标!W152-所有指标!X152*所有指标!U152/31.1035</f>
        <v>6.6694214477470268</v>
      </c>
      <c r="C148">
        <f>所有指标!J152</f>
        <v>1.22</v>
      </c>
      <c r="D148">
        <f>所有指标!U152</f>
        <v>6.8494999999999999</v>
      </c>
      <c r="E148">
        <f>所有指标!AE152-所有指标!AD152</f>
        <v>90</v>
      </c>
      <c r="F148">
        <f>所有指标!AF152</f>
        <v>768.5</v>
      </c>
      <c r="G148">
        <f>所有指标!U152</f>
        <v>6.8494999999999999</v>
      </c>
      <c r="H148">
        <f>所有指标!Y152-所有指标!Z152</f>
        <v>-3.9499999999999886</v>
      </c>
      <c r="I148">
        <f>所有指标!V152</f>
        <v>101.5775</v>
      </c>
      <c r="J148">
        <f>所有指标!U152</f>
        <v>6.8494999999999999</v>
      </c>
      <c r="K148">
        <f>所有指标!AB152-所有指标!AC152</f>
        <v>-798.14000000000033</v>
      </c>
      <c r="L148">
        <f>所有指标!AA152</f>
        <v>1068416</v>
      </c>
      <c r="M148">
        <f>所有指标!U152</f>
        <v>6.8494999999999999</v>
      </c>
    </row>
    <row r="149" spans="1:13">
      <c r="A149" s="7">
        <f>所有指标!A153</f>
        <v>45025</v>
      </c>
      <c r="B149">
        <f>所有指标!W153-所有指标!X153*所有指标!U153/31.1035</f>
        <v>-1.7019306508927912E-2</v>
      </c>
      <c r="C149">
        <f>所有指标!J153</f>
        <v>1.1399999999999999</v>
      </c>
      <c r="D149">
        <f>所有指标!U153</f>
        <v>6.8754</v>
      </c>
      <c r="E149">
        <f>所有指标!AE153-所有指标!AD153</f>
        <v>83</v>
      </c>
      <c r="F149">
        <f>所有指标!AF153</f>
        <v>795.5</v>
      </c>
      <c r="G149">
        <f>所有指标!U153</f>
        <v>6.8754</v>
      </c>
      <c r="H149">
        <f>所有指标!Y153-所有指标!Z153</f>
        <v>-4.480000000000004</v>
      </c>
      <c r="I149">
        <f>所有指标!V153</f>
        <v>102.1053</v>
      </c>
      <c r="J149">
        <f>所有指标!U153</f>
        <v>6.8754</v>
      </c>
      <c r="K149">
        <f>所有指标!AB153-所有指标!AC153</f>
        <v>-449.71000000000004</v>
      </c>
      <c r="L149">
        <f>所有指标!AA153</f>
        <v>663688</v>
      </c>
      <c r="M149">
        <f>所有指标!U153</f>
        <v>6.8754</v>
      </c>
    </row>
    <row r="150" spans="1:13">
      <c r="A150" s="7">
        <f>所有指标!A154</f>
        <v>45018</v>
      </c>
      <c r="B150">
        <f>所有指标!W154-所有指标!X154*所有指标!U154/31.1035</f>
        <v>2.2374041506582785</v>
      </c>
      <c r="C150">
        <f>所有指标!J154</f>
        <v>1.1599999999999999</v>
      </c>
      <c r="D150">
        <f>所有指标!U154</f>
        <v>6.8712999999999997</v>
      </c>
      <c r="E150">
        <f>所有指标!AE154-所有指标!AD154</f>
        <v>131</v>
      </c>
      <c r="F150">
        <f>所有指标!AF154</f>
        <v>907</v>
      </c>
      <c r="G150">
        <f>所有指标!U154</f>
        <v>6.8712999999999997</v>
      </c>
      <c r="H150">
        <f>所有指标!Y154-所有指标!Z154</f>
        <v>-4.230000000000004</v>
      </c>
      <c r="I150">
        <f>所有指标!V154</f>
        <v>102.59699999999999</v>
      </c>
      <c r="J150">
        <f>所有指标!U154</f>
        <v>6.8712999999999997</v>
      </c>
      <c r="K150">
        <f>所有指标!AB154-所有指标!AC154</f>
        <v>-347.57000000000016</v>
      </c>
      <c r="L150">
        <f>所有指标!AA154</f>
        <v>843355</v>
      </c>
      <c r="M150">
        <f>所有指标!U154</f>
        <v>6.8712999999999997</v>
      </c>
    </row>
    <row r="151" spans="1:13">
      <c r="A151" s="7">
        <f>所有指标!A155</f>
        <v>45011</v>
      </c>
      <c r="B151">
        <f>所有指标!W155-所有指标!X155*所有指标!U155/31.1035</f>
        <v>3.432313083736517</v>
      </c>
      <c r="C151">
        <f>所有指标!J155</f>
        <v>1.1599999999999999</v>
      </c>
      <c r="D151">
        <f>所有指标!U155</f>
        <v>6.8654999999999999</v>
      </c>
      <c r="E151">
        <f>所有指标!AE155-所有指标!AD155</f>
        <v>146</v>
      </c>
      <c r="F151">
        <f>所有指标!AF155</f>
        <v>866.5</v>
      </c>
      <c r="G151">
        <f>所有指标!U155</f>
        <v>6.8654999999999999</v>
      </c>
      <c r="H151">
        <f>所有指标!Y155-所有指标!Z155</f>
        <v>-5.4099999999999966</v>
      </c>
      <c r="I151">
        <f>所有指标!V155</f>
        <v>103.10599999999999</v>
      </c>
      <c r="J151">
        <f>所有指标!U155</f>
        <v>6.8654999999999999</v>
      </c>
      <c r="K151">
        <f>所有指标!AB155-所有指标!AC155</f>
        <v>-301</v>
      </c>
      <c r="L151">
        <f>所有指标!AA155</f>
        <v>942664</v>
      </c>
      <c r="M151">
        <f>所有指标!U155</f>
        <v>6.8654999999999999</v>
      </c>
    </row>
    <row r="152" spans="1:13">
      <c r="A152" s="7">
        <f>所有指标!A156</f>
        <v>45004</v>
      </c>
      <c r="B152">
        <f>所有指标!W156-所有指标!X156*所有指标!U156/31.1035</f>
        <v>-8.3360557493529654</v>
      </c>
      <c r="C152">
        <f>所有指标!J156</f>
        <v>1.29</v>
      </c>
      <c r="D152">
        <f>所有指标!U156</f>
        <v>6.8765000000000001</v>
      </c>
      <c r="E152">
        <f>所有指标!AE156-所有指标!AD156</f>
        <v>97</v>
      </c>
      <c r="F152">
        <f>所有指标!AF156</f>
        <v>915</v>
      </c>
      <c r="G152">
        <f>所有指标!U156</f>
        <v>6.8765000000000001</v>
      </c>
      <c r="H152">
        <f>所有指标!Y156-所有指标!Z156</f>
        <v>-6.1799999999999926</v>
      </c>
      <c r="I152">
        <f>所有指标!V156</f>
        <v>103.86369999999999</v>
      </c>
      <c r="J152">
        <f>所有指标!U156</f>
        <v>6.8765000000000001</v>
      </c>
      <c r="K152">
        <f>所有指标!AB156-所有指标!AC156</f>
        <v>-426.14000000000033</v>
      </c>
      <c r="L152">
        <f>所有指标!AA156</f>
        <v>1099683</v>
      </c>
      <c r="M152">
        <f>所有指标!U156</f>
        <v>6.8765000000000001</v>
      </c>
    </row>
    <row r="153" spans="1:13">
      <c r="A153" s="7">
        <f>所有指标!A157</f>
        <v>44997</v>
      </c>
      <c r="B153">
        <f>所有指标!W157-所有指标!X157*所有指标!U157/31.1035</f>
        <v>-2.6113668879708598</v>
      </c>
      <c r="C153">
        <f>所有指标!J157</f>
        <v>1.44</v>
      </c>
      <c r="D153">
        <f>所有指标!U157</f>
        <v>6.9653</v>
      </c>
      <c r="E153">
        <f>所有指标!AE157-所有指标!AD157</f>
        <v>82</v>
      </c>
      <c r="F153">
        <f>所有指标!AF157</f>
        <v>910</v>
      </c>
      <c r="G153">
        <f>所有指标!U157</f>
        <v>6.9653</v>
      </c>
      <c r="H153">
        <f>所有指标!Y157-所有指标!Z157</f>
        <v>-5.9599999999999937</v>
      </c>
      <c r="I153">
        <f>所有指标!V157</f>
        <v>104.6502</v>
      </c>
      <c r="J153">
        <f>所有指标!U157</f>
        <v>6.9653</v>
      </c>
      <c r="K153">
        <f>所有指标!AB157-所有指标!AC157</f>
        <v>-446.14000000000033</v>
      </c>
      <c r="L153">
        <f>所有指标!AA157</f>
        <v>1170702</v>
      </c>
      <c r="M153">
        <f>所有指标!U157</f>
        <v>6.9653</v>
      </c>
    </row>
    <row r="154" spans="1:13">
      <c r="A154" s="7">
        <f>所有指标!A158</f>
        <v>44990</v>
      </c>
      <c r="B154">
        <f>所有指标!W158-所有指标!X158*所有指标!U158/31.1035</f>
        <v>2.3244962785538519</v>
      </c>
      <c r="C154">
        <f>所有指标!J158</f>
        <v>1.45</v>
      </c>
      <c r="D154">
        <f>所有指标!U158</f>
        <v>6.9001999999999999</v>
      </c>
      <c r="E154">
        <f>所有指标!AE158-所有指标!AD158</f>
        <v>99</v>
      </c>
      <c r="F154">
        <f>所有指标!AF158</f>
        <v>919</v>
      </c>
      <c r="G154">
        <f>所有指标!U158</f>
        <v>6.9001999999999999</v>
      </c>
      <c r="H154">
        <f>所有指标!Y158-所有指标!Z158</f>
        <v>-6.1500000000000057</v>
      </c>
      <c r="I154">
        <f>所有指标!V158</f>
        <v>104.5288</v>
      </c>
      <c r="J154">
        <f>所有指标!U158</f>
        <v>6.9001999999999999</v>
      </c>
      <c r="K154">
        <f>所有指标!AB158-所有指标!AC158</f>
        <v>-517</v>
      </c>
      <c r="L154">
        <f>所有指标!AA158</f>
        <v>1291238</v>
      </c>
      <c r="M154">
        <f>所有指标!U158</f>
        <v>6.9001999999999999</v>
      </c>
    </row>
    <row r="155" spans="1:13">
      <c r="A155" s="7">
        <f>所有指标!A159</f>
        <v>44983</v>
      </c>
      <c r="B155">
        <f>所有指标!W159-所有指标!X159*所有指标!U159/31.1035</f>
        <v>7.2514151140546232</v>
      </c>
      <c r="C155">
        <f>所有指标!J159</f>
        <v>1.57</v>
      </c>
      <c r="D155">
        <f>所有指标!U159</f>
        <v>6.9442000000000004</v>
      </c>
      <c r="E155">
        <f>所有指标!AE159-所有指标!AD159</f>
        <v>72</v>
      </c>
      <c r="F155">
        <f>所有指标!AF159</f>
        <v>909.5</v>
      </c>
      <c r="G155">
        <f>所有指标!U159</f>
        <v>6.9442000000000004</v>
      </c>
      <c r="H155">
        <f>所有指标!Y159-所有指标!Z159</f>
        <v>-6.3999999999999915</v>
      </c>
      <c r="I155">
        <f>所有指标!V159</f>
        <v>105.26179999999999</v>
      </c>
      <c r="J155">
        <f>所有指标!U159</f>
        <v>6.9442000000000004</v>
      </c>
      <c r="K155">
        <f>所有指标!AB159-所有指标!AC159</f>
        <v>-618.14000000000033</v>
      </c>
      <c r="L155">
        <f>所有指标!AA159</f>
        <v>1301166</v>
      </c>
      <c r="M155">
        <f>所有指标!U159</f>
        <v>6.9442000000000004</v>
      </c>
    </row>
    <row r="156" spans="1:13">
      <c r="A156" s="7"/>
    </row>
    <row r="157" spans="1:13">
      <c r="A157" s="7"/>
    </row>
    <row r="158" spans="1:13">
      <c r="A158" s="7"/>
    </row>
  </sheetData>
  <mergeCells count="4">
    <mergeCell ref="B1:D1"/>
    <mergeCell ref="E1:G1"/>
    <mergeCell ref="H1:J1"/>
    <mergeCell ref="K1:M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近一月指数走势</vt:lpstr>
      <vt:lpstr>指标值</vt:lpstr>
      <vt:lpstr>所有指标</vt:lpstr>
      <vt:lpstr>股票指标</vt:lpstr>
      <vt:lpstr>债券指标</vt:lpstr>
      <vt:lpstr>汇率指标</vt:lpstr>
      <vt:lpstr>商品指标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Wenqian Wu</dc:creator>
  <cp:lastModifiedBy>a72289</cp:lastModifiedBy>
  <dcterms:created xsi:type="dcterms:W3CDTF">2015-06-05T18:19:34Z</dcterms:created>
  <dcterms:modified xsi:type="dcterms:W3CDTF">2026-01-25T03:34:41Z</dcterms:modified>
</cp:coreProperties>
</file>